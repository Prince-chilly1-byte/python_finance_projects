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A205C7DD-382F-489F-9DEB-475FDC3FDC72}" xr6:coauthVersionLast="47" xr6:coauthVersionMax="47" xr10:uidLastSave="{00000000-0000-0000-0000-000000000000}"/>
  <bookViews>
    <workbookView xWindow="-120" yWindow="-120" windowWidth="20730" windowHeight="11160" activeTab="3" xr2:uid="{2B710C43-E650-4C02-B85F-2FA7BFCEC118}"/>
  </bookViews>
  <sheets>
    <sheet name="bsm + greeks" sheetId="1" r:id="rId1"/>
    <sheet name="implied volatility" sheetId="2" r:id="rId2"/>
    <sheet name="implied vol put option" sheetId="3" r:id="rId3"/>
    <sheet name="portfolio optimization" sheetId="4" r:id="rId4"/>
    <sheet name="Sheet3" sheetId="5" r:id="rId5"/>
  </sheets>
  <definedNames>
    <definedName name="AAPL">'portfolio optimization'!$A$1:$A$60</definedName>
    <definedName name="BA">'portfolio optimization'!$B$1:$B$60</definedName>
    <definedName name="NFLX">'portfolio optimization'!$D$1:$D$60</definedName>
    <definedName name="solver_adj" localSheetId="3" hidden="1">'portfolio optimization'!$H$10:$H$13</definedName>
    <definedName name="solver_cvg" localSheetId="3" hidden="1">0.0001</definedName>
    <definedName name="solver_drv" localSheetId="3" hidden="1">2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'portfolio optimization'!$H$14</definedName>
    <definedName name="solver_lhs2" localSheetId="3" hidden="1">'portfolio optimization'!$J$21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2</definedName>
    <definedName name="solver_nwt" localSheetId="3" hidden="1">1</definedName>
    <definedName name="solver_opt" localSheetId="3" hidden="1">'portfolio optimization'!$J$17</definedName>
    <definedName name="solver_pre" localSheetId="3" hidden="1">0.000001</definedName>
    <definedName name="solver_rbv" localSheetId="3" hidden="1">2</definedName>
    <definedName name="solver_rel1" localSheetId="3" hidden="1">2</definedName>
    <definedName name="solver_rel2" localSheetId="3" hidden="1">1</definedName>
    <definedName name="solver_rhs1" localSheetId="3" hidden="1">1</definedName>
    <definedName name="solver_rhs2" localSheetId="3" hidden="1">0.3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TSLA">'portfolio optimization'!$C$1:$C$60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ocument_954b7492-e480-4a7f-936e-abb9a7da3af2" name="Document" connection="Query - Documen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4" i="4" l="1"/>
  <c r="M4" i="4" l="1"/>
  <c r="M5" i="4"/>
  <c r="M6" i="4"/>
  <c r="M3" i="4"/>
  <c r="J6" i="4"/>
  <c r="J5" i="4"/>
  <c r="J4" i="4"/>
  <c r="J3" i="4"/>
  <c r="H5" i="4"/>
  <c r="H4" i="4"/>
  <c r="K5" i="4"/>
  <c r="K3" i="4"/>
  <c r="I6" i="4"/>
  <c r="I5" i="4"/>
  <c r="I4" i="4"/>
  <c r="I3" i="4"/>
  <c r="H6" i="4"/>
  <c r="K6" i="4"/>
  <c r="K4" i="4"/>
  <c r="H3" i="4"/>
  <c r="H20" i="4" l="1" a="1"/>
  <c r="H20" i="4" s="1"/>
  <c r="H21" i="4" s="1"/>
  <c r="J21" i="4" s="1"/>
  <c r="H17" i="4" a="1"/>
  <c r="H17" i="4" s="1"/>
  <c r="J17" i="4" s="1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C3" i="4"/>
  <c r="C4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2" i="4"/>
  <c r="C2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F4" i="1"/>
  <c r="B11" i="3"/>
  <c r="B13" i="3" s="1"/>
  <c r="C10" i="2"/>
  <c r="C11" i="2"/>
  <c r="C13" i="2" s="1"/>
  <c r="F3" i="1"/>
  <c r="K4" i="1"/>
  <c r="K3" i="1"/>
  <c r="J4" i="1"/>
  <c r="J3" i="1"/>
  <c r="I4" i="1"/>
  <c r="I3" i="1"/>
  <c r="H4" i="1"/>
  <c r="H3" i="1"/>
  <c r="B25" i="1"/>
  <c r="G4" i="1"/>
  <c r="G3" i="1"/>
  <c r="B24" i="1"/>
  <c r="B23" i="1"/>
  <c r="B22" i="1"/>
  <c r="B21" i="1"/>
  <c r="B20" i="1"/>
  <c r="B14" i="1"/>
  <c r="B17" i="1" s="1"/>
  <c r="B16" i="1"/>
  <c r="B15" i="1"/>
  <c r="B9" i="1"/>
  <c r="H25" i="4" l="1"/>
  <c r="B12" i="3"/>
  <c r="B14" i="3" s="1"/>
  <c r="B16" i="3" s="1"/>
  <c r="C12" i="2"/>
  <c r="C15" i="2" s="1"/>
  <c r="B18" i="1"/>
  <c r="B1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B9D75FD-BF67-47DE-B85C-76F7956DE11B}" name="Query - Document" description="Connection to the 'Document' query in the workbook." type="100" refreshedVersion="8" minRefreshableVersion="5">
    <extLst>
      <ext xmlns:x15="http://schemas.microsoft.com/office/spreadsheetml/2010/11/main" uri="{DE250136-89BD-433C-8126-D09CA5730AF9}">
        <x15:connection id="6aef5378-caae-4e77-b046-377cf11e449a"/>
      </ext>
    </extLst>
  </connection>
  <connection id="2" xr16:uid="{4FE7A716-36D4-4FF7-B6A6-6ABDA6309BB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<sst xmlns="http://schemas.openxmlformats.org/spreadsheetml/2006/main" count="140" uniqueCount="109">
  <si>
    <t>black-scholes option pricing</t>
  </si>
  <si>
    <t>underlying price</t>
  </si>
  <si>
    <t>exercise price</t>
  </si>
  <si>
    <t>volatility p.a</t>
  </si>
  <si>
    <t>interest p.a</t>
  </si>
  <si>
    <t>time to expiration(in years)</t>
  </si>
  <si>
    <t>NUMBER OF DAYS TO EXP</t>
  </si>
  <si>
    <t>NUMBER OF DAYS IN YEAR</t>
  </si>
  <si>
    <t>INPUTS FOR BLACK-SCHOLES</t>
  </si>
  <si>
    <t>ln(so/x)</t>
  </si>
  <si>
    <r>
      <t>(r-q+0.5</t>
    </r>
    <r>
      <rPr>
        <sz val="11"/>
        <color theme="1"/>
        <rFont val="Calibri"/>
        <family val="2"/>
      </rPr>
      <t>σ^2)*t</t>
    </r>
  </si>
  <si>
    <t>d1</t>
  </si>
  <si>
    <t>d2</t>
  </si>
  <si>
    <t>N(d1)</t>
  </si>
  <si>
    <t>N(d2)</t>
  </si>
  <si>
    <t xml:space="preserve">N(-d2) cumulative </t>
  </si>
  <si>
    <t>N(-d1) cumulative</t>
  </si>
  <si>
    <t>exp(-rt)</t>
  </si>
  <si>
    <t>exp(-qt)</t>
  </si>
  <si>
    <t>dividen yield (q)</t>
  </si>
  <si>
    <t>risk free rate ( r)</t>
  </si>
  <si>
    <t>σ*sqrt(t)</t>
  </si>
  <si>
    <t>call option</t>
  </si>
  <si>
    <t>put option</t>
  </si>
  <si>
    <t>Price</t>
  </si>
  <si>
    <t>Delta</t>
  </si>
  <si>
    <t>Gamma</t>
  </si>
  <si>
    <t>Vega</t>
  </si>
  <si>
    <t>Teta</t>
  </si>
  <si>
    <t>Rho</t>
  </si>
  <si>
    <t>delta: purt, closer delta to -1 more likely to be in the money</t>
  </si>
  <si>
    <t>delta: 1$ increase in stock, call inc by 0.29, nearer to 1, in the money, to zero, OTM</t>
  </si>
  <si>
    <t>standard norm dist</t>
  </si>
  <si>
    <t>gamma requires standard norm. dist, what does is say?</t>
  </si>
  <si>
    <t>the gamma if stock pice increases by one unit, delta will increase by the value of gamma</t>
  </si>
  <si>
    <t>vega checks the sensititivity of the option price relative to volatility, i.e for 1 unit in</t>
  </si>
  <si>
    <t>underlying volatility there will be an increase in option price by the value of vega</t>
  </si>
  <si>
    <t>theta measures the decay of the option price as time elapses</t>
  </si>
  <si>
    <t>Greeks are sensitivity measures</t>
  </si>
  <si>
    <t>Underlying Price</t>
  </si>
  <si>
    <t xml:space="preserve">Strike Price </t>
  </si>
  <si>
    <t>Volatilty</t>
  </si>
  <si>
    <t>Time to maturity(years)</t>
  </si>
  <si>
    <t>Risk-free rate</t>
  </si>
  <si>
    <t>Implied Volatility</t>
  </si>
  <si>
    <t>these are arbitrary numbers</t>
  </si>
  <si>
    <t>with implied volatity, we can find the implied volatiliy by using the goal seek function</t>
  </si>
  <si>
    <t>we know from theory that the price of a call option will increase as the volatility of the</t>
  </si>
  <si>
    <t>stock price increases and vis-à-vis for a put option.</t>
  </si>
  <si>
    <t>to obtain the implied volatility for a csll/put option we can utilize the goal-seek function.</t>
  </si>
  <si>
    <t>Call option price</t>
  </si>
  <si>
    <t>SOME IMPORTANT INFO ABOUT USING GOAL SEEK:</t>
  </si>
  <si>
    <t>1.ENSURE THAT ALL VALUES YOU NEED TO CHANGE ARE CALCULATED USING A FUNCTION</t>
  </si>
  <si>
    <t>I.E IF WE WANT TO CHANGE IMPLIED VOLATITLITY, THE PARAMETERS USED TO CALCULATE THE CALL OPTION MUST BE USED IN THE CLL PRICE FORMULA</t>
  </si>
  <si>
    <t>JUST LIKE MOST PROGRAMS, WE CAN USE MACROS TO RECALCUATE FOR DIFFERENT CALL PRICE OPTIONS</t>
  </si>
  <si>
    <t>target price</t>
  </si>
  <si>
    <t>first record the macro, record the action (goal seek action by finding the implied volatility.</t>
  </si>
  <si>
    <t>the macro will be recorded and then open the macros</t>
  </si>
  <si>
    <t>the vba tool pak will open with some set of code.</t>
  </si>
  <si>
    <t>remove the first 3 lines of code</t>
  </si>
  <si>
    <t>from the change the goalseek goal to tarhet cell, i.e =Range("C17")</t>
  </si>
  <si>
    <t>close the vba and attach a button to it, in this way you only have to change the target price very time you want to calvulate the implied volatility of the call option</t>
  </si>
  <si>
    <t>implied volatilty put option</t>
  </si>
  <si>
    <t>n(-d1)</t>
  </si>
  <si>
    <t>n(-d2)</t>
  </si>
  <si>
    <t>put price</t>
  </si>
  <si>
    <t>target put</t>
  </si>
  <si>
    <t>Adj Close</t>
  </si>
  <si>
    <t>AAPL</t>
  </si>
  <si>
    <t>BA</t>
  </si>
  <si>
    <t>MONTHLY RETURNS ARE CALCULATED USING THE CONTINOUS COMPUNDING FORMULA</t>
  </si>
  <si>
    <t>TO OPTIMIZE PORTFOLIO WE NEED TO CALCULATE THE PORTFOLIO COVARIANCE FOR EACH STOCK</t>
  </si>
  <si>
    <t xml:space="preserve">THEN WE HAVE TO CALCULATE THE AVERAGE MONTHLY RETURNS </t>
  </si>
  <si>
    <t>THEN FIND THE WEIGHTS WE NEED TO INITIALIZE THE PORTFOLIO OPTIMIZATION</t>
  </si>
  <si>
    <t xml:space="preserve">FROMM THE ONWARDS WE CAN OPTIMIZE THE PORTFOLIO BASED ON THE CLIENTS NEED I.E CLIENT MAY WANT TO MAXIMIZE SHARPE RATIO OR VARIANCE </t>
  </si>
  <si>
    <t>FROM THERE ONWARDS WE CAN FIND THE THE WEIGHTS NEEDED TO BUY EACH STOCK IN THE PORTFOLIO TO MEET THE CLIENTS NEEDS</t>
  </si>
  <si>
    <t>TSLA</t>
  </si>
  <si>
    <t>NFLX</t>
  </si>
  <si>
    <t>CALCULATING, COVARIANCE, PORT RETURNS</t>
  </si>
  <si>
    <t>FIRST ASSIGN DATA RANGE TO STOCK TICKER. THIS IS DONE BY SLECTING THE DATA POINTS AND NAMING THE DATA POINTS TO THE TICKER</t>
  </si>
  <si>
    <t>COVARIANCE MATRIX</t>
  </si>
  <si>
    <t>TO SAVE TIME USE THE INDIRECT FUNCTION TO INDENTIFY THE THE ASSIGNED DATA POINTS TO THE TICKER: DO IT LIKE THIS</t>
  </si>
  <si>
    <t>COV.S(INDIRECT(A$1);INDIRECT($B2)), INDIRECT WILL INDENTIFY THE DATA RANGE ASSIGNED TO THE TICKER, ENSURE THAT U LOCK THE ROW FIRST AND THEN TGE COLUMN</t>
  </si>
  <si>
    <t>MONTHLY RETURN</t>
  </si>
  <si>
    <t>PORFOLIO WEIGHTS</t>
  </si>
  <si>
    <t>TO CALCULATE THE PORTFOLIO RETURN WE CAN MAKE USE OF MATRIX MULTIPLICATION</t>
  </si>
  <si>
    <t>IN EXCEL YOU HAVE TO MAKE USE OF THE MMULT FUNCTION</t>
  </si>
  <si>
    <t>TO EXECUTE THE FUNCTION WE HAVE TO USE CTRL+SHIFT+ENTER TO GET THE CORRECT SUMMATION OR VALUE</t>
  </si>
  <si>
    <t>RETURN</t>
  </si>
  <si>
    <t>VAR</t>
  </si>
  <si>
    <t>WE USE MATRIX MULTIPLICATION TO CACLULATE PORT VAR</t>
  </si>
  <si>
    <t>FIRST TRANSPOSE THE WEIGTS OF THE PORTFOLIO</t>
  </si>
  <si>
    <t>THEN WITH THE MMULT FUNCTION, NEST THE MMELT FUNCTION THAT WILL CACLULATE THE THE MATRIX MULTIPLICATION BETWEEN COVARIANCE AND WEIGJHT</t>
  </si>
  <si>
    <t>CTRL+SHIFT+ENTER</t>
  </si>
  <si>
    <t>ETC MMULT(TRANSPOSE(WEIGHTS);MMULT(COV.MAT;WEIGHTS))</t>
  </si>
  <si>
    <t>STD</t>
  </si>
  <si>
    <t>PORTFOLIO RETURN MOMNTHLY</t>
  </si>
  <si>
    <t>PORTFOLIO VAR AND STD MONTHLY</t>
  </si>
  <si>
    <t>ANNUALLY</t>
  </si>
  <si>
    <t>ANNUALY</t>
  </si>
  <si>
    <t>ANNUAL STD = STD*SQRT(12)</t>
  </si>
  <si>
    <t>SHARPE RATIO</t>
  </si>
  <si>
    <t>RFR</t>
  </si>
  <si>
    <t>SHP R</t>
  </si>
  <si>
    <t>FOR THIS EXAMPLE LETS ASSUME THE CLIENT WANTS TO MAXIMIZE SHARPE RATIO WITH A RISK TOLERANCE OF 30%</t>
  </si>
  <si>
    <t>WE NEED TO UE SOLVER TOOL</t>
  </si>
  <si>
    <t>IN OTHER WORDS WE WANT TO SEE HOW MUCH OF EACH ASSET MUST WE ALLOCATE TO TO THE PORTFOLIO</t>
  </si>
  <si>
    <t>OPTION 2</t>
  </si>
  <si>
    <t>MAXIMIZE RETURN WHILE MAINTAINING THE RISK TOLERANCE OF 30%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</si>
</sst>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000"/>
    <numFmt numFmtId="173" formatCode="0.000%"/>
    <numFmt numFmtId="174" formatCode="0.0000%"/>
    <numFmt numFmtId="177" formatCode="_-* #,##0.0000_-;\-* #,##0.0000_-;_-* &quot;-&quot;??_-;_-@_-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2">
    <xf numFmtId="0" fontId="0" fillId="0" borderId="0" xfId="0"/>
    <xf numFmtId="0" fontId="2" fillId="0" borderId="0" xfId="0" applyFont="1"/>
    <xf numFmtId="0" fontId="3" fillId="0" borderId="0" xfId="0" applyFont="1"/>
    <xf numFmtId="164" fontId="0" fillId="0" borderId="0" xfId="0" applyNumberFormat="1"/>
    <xf numFmtId="0" fontId="0" fillId="2" borderId="0" xfId="0" applyFill="1"/>
    <xf numFmtId="9" fontId="0" fillId="2" borderId="0" xfId="0" applyNumberFormat="1" applyFill="1"/>
    <xf numFmtId="0" fontId="0" fillId="0" borderId="0" xfId="0" applyFont="1"/>
    <xf numFmtId="9" fontId="0" fillId="2" borderId="0" xfId="1" applyFont="1" applyFill="1"/>
    <xf numFmtId="0" fontId="0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2" fontId="0" fillId="0" borderId="0" xfId="0" applyNumberFormat="1"/>
    <xf numFmtId="0" fontId="3" fillId="0" borderId="1" xfId="0" applyFont="1" applyBorder="1" applyAlignment="1">
      <alignment horizontal="center" vertical="top"/>
    </xf>
    <xf numFmtId="2" fontId="0" fillId="2" borderId="0" xfId="0" applyNumberFormat="1" applyFill="1"/>
    <xf numFmtId="0" fontId="5" fillId="2" borderId="0" xfId="0" applyFont="1" applyFill="1"/>
    <xf numFmtId="0" fontId="3" fillId="0" borderId="0" xfId="0" applyFont="1" applyAlignment="1">
      <alignment horizontal="center"/>
    </xf>
    <xf numFmtId="10" fontId="0" fillId="0" borderId="0" xfId="1" applyNumberFormat="1" applyFont="1"/>
    <xf numFmtId="173" fontId="0" fillId="0" borderId="0" xfId="1" applyNumberFormat="1" applyFont="1"/>
    <xf numFmtId="174" fontId="0" fillId="0" borderId="0" xfId="1" applyNumberFormat="1" applyFont="1"/>
    <xf numFmtId="0" fontId="3" fillId="0" borderId="3" xfId="0" applyFont="1" applyBorder="1" applyAlignment="1">
      <alignment horizontal="center"/>
    </xf>
    <xf numFmtId="0" fontId="0" fillId="0" borderId="4" xfId="0" applyBorder="1"/>
    <xf numFmtId="0" fontId="3" fillId="0" borderId="5" xfId="0" applyFont="1" applyBorder="1" applyAlignment="1">
      <alignment horizontal="center"/>
    </xf>
    <xf numFmtId="0" fontId="0" fillId="0" borderId="0" xfId="0" applyBorder="1"/>
    <xf numFmtId="0" fontId="3" fillId="0" borderId="6" xfId="0" applyFont="1" applyBorder="1" applyAlignment="1">
      <alignment horizontal="center"/>
    </xf>
    <xf numFmtId="0" fontId="0" fillId="0" borderId="7" xfId="0" applyBorder="1"/>
    <xf numFmtId="0" fontId="3" fillId="0" borderId="8" xfId="0" applyFont="1" applyBorder="1" applyAlignment="1">
      <alignment horizontal="center"/>
    </xf>
    <xf numFmtId="0" fontId="0" fillId="0" borderId="2" xfId="0" applyBorder="1"/>
    <xf numFmtId="0" fontId="0" fillId="2" borderId="0" xfId="0" applyFill="1" applyBorder="1"/>
    <xf numFmtId="0" fontId="0" fillId="2" borderId="9" xfId="0" applyFill="1" applyBorder="1"/>
    <xf numFmtId="0" fontId="3" fillId="0" borderId="0" xfId="0" applyFont="1" applyFill="1" applyBorder="1" applyAlignment="1">
      <alignment horizontal="center"/>
    </xf>
    <xf numFmtId="9" fontId="0" fillId="0" borderId="0" xfId="0" applyNumberFormat="1"/>
    <xf numFmtId="177" fontId="0" fillId="0" borderId="0" xfId="2" applyNumberFormat="1" applyFont="1"/>
    <xf numFmtId="0" fontId="0" fillId="0" borderId="0" xfId="0" applyFont="1" applyFill="1" applyBorder="1" applyAlignment="1"/>
  </cellXfs>
  <cellStyles count="3">
    <cellStyle name="Comma" xfId="2" builtinId="3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581025</xdr:colOff>
      <xdr:row>16</xdr:row>
      <xdr:rowOff>90487</xdr:rowOff>
    </xdr:from>
    <xdr:ext cx="183640" cy="1856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47E2F1E-0CDA-5876-0F48-A8FE64100E92}"/>
                </a:ext>
              </a:extLst>
            </xdr:cNvPr>
            <xdr:cNvSpPr txBox="1"/>
          </xdr:nvSpPr>
          <xdr:spPr>
            <a:xfrm>
              <a:off x="5819775" y="3138487"/>
              <a:ext cx="18364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ad>
                      <m:radPr>
                        <m:degHide m:val="on"/>
                        <m:ctrlPr>
                          <a:rPr lang="en-ZA" sz="110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</m:rad>
                  </m:oMath>
                </m:oMathPara>
              </a14:m>
              <a:endParaRPr lang="en-ZA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E47E2F1E-0CDA-5876-0F48-A8FE64100E92}"/>
                </a:ext>
              </a:extLst>
            </xdr:cNvPr>
            <xdr:cNvSpPr txBox="1"/>
          </xdr:nvSpPr>
          <xdr:spPr>
            <a:xfrm>
              <a:off x="5819775" y="3138487"/>
              <a:ext cx="183640" cy="1856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ZA" sz="1100" i="0">
                  <a:latin typeface="Cambria Math" panose="02040503050406030204" pitchFamily="18" charset="0"/>
                </a:rPr>
                <a:t>√</a:t>
              </a:r>
              <a:r>
                <a:rPr lang="en-US" sz="1100" b="0" i="0">
                  <a:latin typeface="Cambria Math" panose="02040503050406030204" pitchFamily="18" charset="0"/>
                </a:rPr>
                <a:t>𝑡</a:t>
              </a:r>
              <a:endParaRPr lang="en-ZA" sz="1100"/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4</xdr:row>
      <xdr:rowOff>57150</xdr:rowOff>
    </xdr:from>
    <xdr:to>
      <xdr:col>10</xdr:col>
      <xdr:colOff>152400</xdr:colOff>
      <xdr:row>8</xdr:row>
      <xdr:rowOff>19050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48B1FD52-0954-326D-04AB-80006B2E6599}"/>
                </a:ext>
              </a:extLst>
            </xdr:cNvPr>
            <xdr:cNvSpPr/>
          </xdr:nvSpPr>
          <xdr:spPr>
            <a:xfrm>
              <a:off x="4695825" y="819150"/>
              <a:ext cx="2400300" cy="723900"/>
            </a:xfrm>
            <a:prstGeom prst="rect">
              <a:avLst/>
            </a:prstGeom>
            <a:solidFill>
              <a:schemeClr val="bg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600">
                  <a:solidFill>
                    <a:schemeClr val="tx1"/>
                  </a:solidFill>
                </a:rPr>
                <a:t>d1= </a:t>
              </a:r>
              <a14:m>
                <m:oMath xmlns:m="http://schemas.openxmlformats.org/officeDocument/2006/math">
                  <m:f>
                    <m:fPr>
                      <m:ctrlPr>
                        <a:rPr lang="en-ZA" sz="16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6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(</m:t>
                      </m:r>
                      <m:func>
                        <m:funcPr>
                          <m:ctrlPr>
                            <a:rPr lang="en-US" sz="16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funcPr>
                        <m:fName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ln</m:t>
                          </m:r>
                        </m:fName>
                        <m:e>
                          <m:d>
                            <m:dPr>
                              <m:ctrlPr>
                                <a:rPr lang="en-US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dPr>
                            <m:e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𝑠</m:t>
                              </m:r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/</m:t>
                              </m:r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𝑘</m:t>
                              </m:r>
                            </m:e>
                          </m:d>
                        </m:e>
                      </m:func>
                      <m:r>
                        <a:rPr lang="en-US" sz="16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+</m:t>
                      </m:r>
                      <m:d>
                        <m:dPr>
                          <m:ctrlPr>
                            <a:rPr lang="en-US" sz="16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dPr>
                        <m:e>
                          <m:r>
                            <a:rPr lang="en-US" sz="16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𝑟</m:t>
                          </m:r>
                          <m:r>
                            <a:rPr lang="en-US" sz="16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+0,5</m:t>
                          </m:r>
                          <m:sSup>
                            <m:sSupPr>
                              <m:ctrlPr>
                                <a:rPr lang="en-US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</m:ctrlPr>
                            </m:sSupPr>
                            <m:e>
                              <m:r>
                                <m:rPr>
                                  <m:sty m:val="p"/>
                                </m:rPr>
                                <a:rPr lang="el-GR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σ</m:t>
                              </m:r>
                            </m:e>
                            <m:sup>
                              <m:r>
                                <a:rPr lang="en-US" sz="1600" b="0" i="1">
                                  <a:solidFill>
                                    <a:schemeClr val="tx1"/>
                                  </a:solidFill>
                                  <a:latin typeface="Cambria Math" panose="02040503050406030204" pitchFamily="18" charset="0"/>
                                </a:rPr>
                                <m:t>2</m:t>
                              </m:r>
                            </m:sup>
                          </m:sSup>
                        </m:e>
                      </m:d>
                      <m:r>
                        <a:rPr lang="en-US" sz="1600" b="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𝑇</m:t>
                      </m:r>
                    </m:num>
                    <m:den>
                      <m:r>
                        <m:rPr>
                          <m:sty m:val="p"/>
                        </m:rPr>
                        <a:rPr lang="el-GR" sz="1600" i="1">
                          <a:solidFill>
                            <a:schemeClr val="tx1"/>
                          </a:solidFill>
                          <a:latin typeface="Cambria Math" panose="02040503050406030204" pitchFamily="18" charset="0"/>
                        </a:rPr>
                        <m:t>σ</m:t>
                      </m:r>
                      <m:rad>
                        <m:radPr>
                          <m:degHide m:val="on"/>
                          <m:ctrlPr>
                            <a:rPr lang="el-GR" sz="160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</m:ctrlPr>
                        </m:radPr>
                        <m:deg/>
                        <m:e>
                          <m:r>
                            <a:rPr lang="en-US" sz="1600" b="0" i="1">
                              <a:solidFill>
                                <a:schemeClr val="tx1"/>
                              </a:solidFill>
                              <a:latin typeface="Cambria Math" panose="02040503050406030204" pitchFamily="18" charset="0"/>
                            </a:rPr>
                            <m:t>𝑇</m:t>
                          </m:r>
                        </m:e>
                      </m:rad>
                    </m:den>
                  </m:f>
                </m:oMath>
              </a14:m>
              <a:endParaRPr lang="en-US" sz="1600">
                <a:solidFill>
                  <a:schemeClr val="tx1"/>
                </a:solidFill>
              </a:endParaRPr>
            </a:p>
            <a:p>
              <a:pPr algn="l"/>
              <a:r>
                <a:rPr lang="en-ZA" sz="1600">
                  <a:solidFill>
                    <a:schemeClr val="tx1"/>
                  </a:solidFill>
                </a:rPr>
                <a:t>d2= d1 -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σ</m:t>
                  </m:r>
                  <m:rad>
                    <m:radPr>
                      <m:degHide m:val="on"/>
                      <m:ctrlPr>
                        <a:rPr lang="el-GR" sz="110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𝑇</m:t>
                      </m:r>
                    </m:e>
                  </m:rad>
                </m:oMath>
              </a14:m>
              <a:endParaRPr lang="en-ZA" sz="1600">
                <a:solidFill>
                  <a:schemeClr val="tx1"/>
                </a:solidFill>
              </a:endParaRPr>
            </a:p>
            <a:p>
              <a:pPr algn="l"/>
              <a:endParaRPr lang="en-ZA" sz="1600">
                <a:solidFill>
                  <a:schemeClr val="tx1"/>
                </a:solidFill>
              </a:endParaRPr>
            </a:p>
          </xdr:txBody>
        </xdr:sp>
      </mc:Choice>
      <mc:Fallback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48B1FD52-0954-326D-04AB-80006B2E6599}"/>
                </a:ext>
              </a:extLst>
            </xdr:cNvPr>
            <xdr:cNvSpPr/>
          </xdr:nvSpPr>
          <xdr:spPr>
            <a:xfrm>
              <a:off x="4695825" y="819150"/>
              <a:ext cx="2400300" cy="723900"/>
            </a:xfrm>
            <a:prstGeom prst="rect">
              <a:avLst/>
            </a:prstGeom>
            <a:solidFill>
              <a:schemeClr val="bg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600">
                  <a:solidFill>
                    <a:schemeClr val="tx1"/>
                  </a:solidFill>
                </a:rPr>
                <a:t>d1= </a:t>
              </a:r>
              <a:r>
                <a:rPr lang="en-ZA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(ln⁡(𝑠/𝑘)+(𝑟+0,5</a:t>
              </a:r>
              <a:r>
                <a:rPr lang="el-G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σ</a:t>
              </a:r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^2 )𝑇</a:t>
              </a:r>
              <a:r>
                <a:rPr lang="en-ZA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)/(</a:t>
              </a:r>
              <a:r>
                <a:rPr lang="el-GR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σ√</a:t>
              </a:r>
              <a:r>
                <a:rPr 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ZA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)</a:t>
              </a:r>
              <a:endParaRPr lang="en-US" sz="1600">
                <a:solidFill>
                  <a:schemeClr val="tx1"/>
                </a:solidFill>
              </a:endParaRPr>
            </a:p>
            <a:p>
              <a:pPr algn="l"/>
              <a:r>
                <a:rPr lang="en-ZA" sz="1600">
                  <a:solidFill>
                    <a:schemeClr val="tx1"/>
                  </a:solidFill>
                </a:rPr>
                <a:t>d2= d1 - 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σ√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endParaRPr lang="en-ZA" sz="1600">
                <a:solidFill>
                  <a:schemeClr val="tx1"/>
                </a:solidFill>
              </a:endParaRPr>
            </a:p>
            <a:p>
              <a:pPr algn="l"/>
              <a:endParaRPr lang="en-ZA" sz="1600">
                <a:solidFill>
                  <a:schemeClr val="tx1"/>
                </a:solidFill>
              </a:endParaRPr>
            </a:p>
          </xdr:txBody>
        </xdr:sp>
      </mc:Fallback>
    </mc:AlternateContent>
    <xdr:clientData/>
  </xdr:twoCellAnchor>
  <xdr:twoCellAnchor>
    <xdr:from>
      <xdr:col>6</xdr:col>
      <xdr:colOff>219075</xdr:colOff>
      <xdr:row>9</xdr:row>
      <xdr:rowOff>9525</xdr:rowOff>
    </xdr:from>
    <xdr:to>
      <xdr:col>10</xdr:col>
      <xdr:colOff>285750</xdr:colOff>
      <xdr:row>10</xdr:row>
      <xdr:rowOff>142875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48E5C943-B59F-9199-9B91-3B8D82983D63}"/>
                </a:ext>
              </a:extLst>
            </xdr:cNvPr>
            <xdr:cNvSpPr/>
          </xdr:nvSpPr>
          <xdr:spPr>
            <a:xfrm>
              <a:off x="4724400" y="1724025"/>
              <a:ext cx="2505075" cy="323850"/>
            </a:xfrm>
            <a:prstGeom prst="rect">
              <a:avLst/>
            </a:prstGeom>
            <a:solidFill>
              <a:schemeClr val="bg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d2= d1 - </a:t>
              </a:r>
              <a14:m>
                <m:oMath xmlns:m="http://schemas.openxmlformats.org/officeDocument/2006/math">
                  <m:r>
                    <m:rPr>
                      <m:sty m:val="p"/>
                    </m:rPr>
                    <a:rPr lang="el-GR" sz="1100" i="1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m:t>σ</m:t>
                  </m:r>
                  <m:rad>
                    <m:radPr>
                      <m:degHide m:val="on"/>
                      <m:ctrlPr>
                        <a:rPr lang="el-GR" sz="110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</m:ctrlPr>
                    </m:radPr>
                    <m:deg/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+mn-lt"/>
                          <a:ea typeface="+mn-ea"/>
                          <a:cs typeface="+mn-cs"/>
                        </a:rPr>
                        <m:t>𝑇</m:t>
                      </m:r>
                    </m:e>
                  </m:rad>
                </m:oMath>
              </a14:m>
              <a:endParaRPr lang="en-ZA" sz="1100"/>
            </a:p>
          </xdr:txBody>
        </xdr:sp>
      </mc:Choice>
      <mc:Fallback>
        <xdr:sp macro="" textlink="">
          <xdr:nvSpPr>
            <xdr:cNvPr id="4" name="Rectangle 3">
              <a:extLst>
                <a:ext uri="{FF2B5EF4-FFF2-40B4-BE49-F238E27FC236}">
                  <a16:creationId xmlns:a16="http://schemas.microsoft.com/office/drawing/2014/main" id="{48E5C943-B59F-9199-9B91-3B8D82983D63}"/>
                </a:ext>
              </a:extLst>
            </xdr:cNvPr>
            <xdr:cNvSpPr/>
          </xdr:nvSpPr>
          <xdr:spPr>
            <a:xfrm>
              <a:off x="4724400" y="1724025"/>
              <a:ext cx="2505075" cy="323850"/>
            </a:xfrm>
            <a:prstGeom prst="rect">
              <a:avLst/>
            </a:prstGeom>
            <a:solidFill>
              <a:schemeClr val="bg2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d2= d1 - </a:t>
              </a:r>
              <a:r>
                <a:rPr lang="el-GR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σ√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𝑇</a:t>
              </a:r>
              <a:endParaRPr lang="en-ZA" sz="1100"/>
            </a:p>
          </xdr:txBody>
        </xdr:sp>
      </mc:Fallback>
    </mc:AlternateContent>
    <xdr:clientData/>
  </xdr:twoCellAnchor>
  <xdr:twoCellAnchor>
    <xdr:from>
      <xdr:col>6</xdr:col>
      <xdr:colOff>228600</xdr:colOff>
      <xdr:row>12</xdr:row>
      <xdr:rowOff>9525</xdr:rowOff>
    </xdr:from>
    <xdr:to>
      <xdr:col>10</xdr:col>
      <xdr:colOff>361950</xdr:colOff>
      <xdr:row>13</xdr:row>
      <xdr:rowOff>28575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B339C895-1F10-780F-1ECE-4A1EBFC8AED5}"/>
            </a:ext>
          </a:extLst>
        </xdr:cNvPr>
        <xdr:cNvSpPr/>
      </xdr:nvSpPr>
      <xdr:spPr>
        <a:xfrm>
          <a:off x="4400550" y="2295525"/>
          <a:ext cx="2571750" cy="20955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ZA" sz="1100">
              <a:solidFill>
                <a:schemeClr val="tx1"/>
              </a:solidFill>
            </a:rPr>
            <a:t>c=SN(d1)-ke^rT*N(d2)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17</xdr:row>
          <xdr:rowOff>0</xdr:rowOff>
        </xdr:from>
        <xdr:to>
          <xdr:col>9</xdr:col>
          <xdr:colOff>495300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implied vol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16</xdr:row>
          <xdr:rowOff>28575</xdr:rowOff>
        </xdr:from>
        <xdr:to>
          <xdr:col>7</xdr:col>
          <xdr:colOff>571500</xdr:colOff>
          <xdr:row>17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implied vol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638175</xdr:colOff>
      <xdr:row>63</xdr:row>
      <xdr:rowOff>9525</xdr:rowOff>
    </xdr:from>
    <xdr:to>
      <xdr:col>4</xdr:col>
      <xdr:colOff>600075</xdr:colOff>
      <xdr:row>65</xdr:row>
      <xdr:rowOff>38100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9EE24996-88C4-55C8-E432-45BC8EA58BF8}"/>
                </a:ext>
              </a:extLst>
            </xdr:cNvPr>
            <xdr:cNvSpPr/>
          </xdr:nvSpPr>
          <xdr:spPr>
            <a:xfrm>
              <a:off x="1247775" y="12011025"/>
              <a:ext cx="1838325" cy="4095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ZA" sz="11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𝑐</m:t>
                        </m:r>
                      </m:sub>
                    </m:sSub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n-US" sz="1100" b="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ln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⁡(</m:t>
                    </m:r>
                    <m:f>
                      <m:fPr>
                        <m:ctrlP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𝐹𝑉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𝑇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+mn-lt"/>
                                <a:ea typeface="+mn-ea"/>
                                <a:cs typeface="+mn-cs"/>
                              </a:rPr>
                              <m:t>+1</m:t>
                            </m:r>
                          </m:sub>
                        </m:sSub>
                      </m:num>
                      <m:den>
                        <m:r>
                          <a:rPr lang="en-US" sz="11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𝐹𝑉</m:t>
                        </m:r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ZA" sz="1100"/>
            </a:p>
          </xdr:txBody>
        </xdr:sp>
      </mc:Choice>
      <mc:Fallback>
        <xdr:sp macro="" textlink="">
          <xdr:nvSpPr>
            <xdr:cNvPr id="2" name="Rectangle 1">
              <a:extLst>
                <a:ext uri="{FF2B5EF4-FFF2-40B4-BE49-F238E27FC236}">
                  <a16:creationId xmlns:a16="http://schemas.microsoft.com/office/drawing/2014/main" id="{9EE24996-88C4-55C8-E432-45BC8EA58BF8}"/>
                </a:ext>
              </a:extLst>
            </xdr:cNvPr>
            <xdr:cNvSpPr/>
          </xdr:nvSpPr>
          <xdr:spPr>
            <a:xfrm>
              <a:off x="1247775" y="12011025"/>
              <a:ext cx="1838325" cy="409575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𝑟</a:t>
              </a:r>
              <a:r>
                <a:rPr lang="en-ZA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𝑐=ln⁡(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〖𝐹𝑉〗_(𝑇+1)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n-US" sz="11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𝐹𝑉)</a:t>
              </a:r>
              <a:endParaRPr lang="en-ZA" sz="1100"/>
            </a:p>
          </xdr:txBody>
        </xdr:sp>
      </mc:Fallback>
    </mc:AlternateContent>
    <xdr:clientData/>
  </xdr:twoCellAnchor>
  <xdr:twoCellAnchor>
    <xdr:from>
      <xdr:col>10</xdr:col>
      <xdr:colOff>19050</xdr:colOff>
      <xdr:row>23</xdr:row>
      <xdr:rowOff>28575</xdr:rowOff>
    </xdr:from>
    <xdr:to>
      <xdr:col>14</xdr:col>
      <xdr:colOff>19050</xdr:colOff>
      <xdr:row>24</xdr:row>
      <xdr:rowOff>180975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4E689030-8F04-0DDA-46C5-AFE409029EEE}"/>
                </a:ext>
              </a:extLst>
            </xdr:cNvPr>
            <xdr:cNvSpPr/>
          </xdr:nvSpPr>
          <xdr:spPr>
            <a:xfrm>
              <a:off x="6276975" y="4429125"/>
              <a:ext cx="2438400" cy="34290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/>
                <a:t>SHP_R = </a:t>
              </a:r>
              <a14:m>
                <m:oMath xmlns:m="http://schemas.openxmlformats.org/officeDocument/2006/math">
                  <m:f>
                    <m:fPr>
                      <m:ctrlPr>
                        <a:rPr lang="en-ZA" sz="11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𝑀𝑂𝑁𝑇𝐻𝐿𝑌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𝑅𝐸𝑇𝑈𝑅𝑁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 −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𝑅𝐹𝑅</m:t>
                      </m:r>
                    </m:num>
                    <m:den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𝑃𝑂𝑅𝑇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1100" b="0" i="1">
                          <a:latin typeface="Cambria Math" panose="02040503050406030204" pitchFamily="18" charset="0"/>
                        </a:rPr>
                        <m:t>𝑆𝑇𝐷𝐸𝑉</m:t>
                      </m:r>
                    </m:den>
                  </m:f>
                </m:oMath>
              </a14:m>
              <a:endParaRPr lang="en-ZA" sz="1100"/>
            </a:p>
          </xdr:txBody>
        </xdr:sp>
      </mc:Choice>
      <mc:Fallback>
        <xdr:sp macro="" textlink="">
          <xdr:nvSpPr>
            <xdr:cNvPr id="3" name="Rectangle 2">
              <a:extLst>
                <a:ext uri="{FF2B5EF4-FFF2-40B4-BE49-F238E27FC236}">
                  <a16:creationId xmlns:a16="http://schemas.microsoft.com/office/drawing/2014/main" id="{4E689030-8F04-0DDA-46C5-AFE409029EEE}"/>
                </a:ext>
              </a:extLst>
            </xdr:cNvPr>
            <xdr:cNvSpPr/>
          </xdr:nvSpPr>
          <xdr:spPr>
            <a:xfrm>
              <a:off x="6276975" y="4429125"/>
              <a:ext cx="2438400" cy="34290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/>
                <a:t>SHP_R = </a:t>
              </a:r>
              <a:r>
                <a:rPr lang="en-ZA" sz="1100" i="0">
                  <a:latin typeface="Cambria Math" panose="02040503050406030204" pitchFamily="18" charset="0"/>
                </a:rPr>
                <a:t>(</a:t>
              </a:r>
              <a:r>
                <a:rPr lang="en-US" sz="1100" b="0" i="0">
                  <a:latin typeface="Cambria Math" panose="02040503050406030204" pitchFamily="18" charset="0"/>
                </a:rPr>
                <a:t>𝑀𝑂𝑁𝑇𝐻𝐿𝑌 𝑅𝐸𝑇𝑈𝑅𝑁 −𝑅𝐹𝑅</a:t>
              </a:r>
              <a:r>
                <a:rPr lang="en-ZA" sz="1100" b="0" i="0">
                  <a:latin typeface="Cambria Math" panose="02040503050406030204" pitchFamily="18" charset="0"/>
                </a:rPr>
                <a:t>)/(</a:t>
              </a:r>
              <a:r>
                <a:rPr lang="en-US" sz="1100" b="0" i="0">
                  <a:latin typeface="Cambria Math" panose="02040503050406030204" pitchFamily="18" charset="0"/>
                </a:rPr>
                <a:t>𝑃𝑂𝑅𝑇 𝑆𝑇𝐷𝐸𝑉</a:t>
              </a:r>
              <a:r>
                <a:rPr lang="en-ZA" sz="1100" b="0" i="0">
                  <a:latin typeface="Cambria Math" panose="02040503050406030204" pitchFamily="18" charset="0"/>
                </a:rPr>
                <a:t>)</a:t>
              </a:r>
              <a:endParaRPr lang="en-ZA" sz="1100"/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CBC87-08E7-44D0-B455-993113D56799}">
  <sheetPr codeName="Sheet1"/>
  <dimension ref="A1:K25"/>
  <sheetViews>
    <sheetView topLeftCell="A2" workbookViewId="0">
      <selection activeCell="D18" sqref="D18"/>
    </sheetView>
  </sheetViews>
  <sheetFormatPr defaultRowHeight="15" x14ac:dyDescent="0.25"/>
  <cols>
    <col min="1" max="1" width="32.42578125" customWidth="1"/>
    <col min="2" max="2" width="9.5703125" bestFit="1" customWidth="1"/>
    <col min="5" max="5" width="14.85546875" customWidth="1"/>
    <col min="6" max="6" width="9.5703125" bestFit="1" customWidth="1"/>
  </cols>
  <sheetData>
    <row r="1" spans="1:11" x14ac:dyDescent="0.25">
      <c r="A1" s="2" t="s">
        <v>0</v>
      </c>
    </row>
    <row r="2" spans="1:11" ht="15.75" thickBot="1" x14ac:dyDescent="0.3">
      <c r="F2" s="2" t="s">
        <v>24</v>
      </c>
      <c r="G2" s="11" t="s">
        <v>25</v>
      </c>
      <c r="H2" s="11" t="s">
        <v>26</v>
      </c>
      <c r="I2" s="11" t="s">
        <v>27</v>
      </c>
      <c r="J2" s="11" t="s">
        <v>28</v>
      </c>
      <c r="K2" s="11" t="s">
        <v>29</v>
      </c>
    </row>
    <row r="3" spans="1:11" ht="15.75" thickTop="1" x14ac:dyDescent="0.25">
      <c r="A3" s="1" t="s">
        <v>1</v>
      </c>
      <c r="B3" s="4">
        <v>307.35000000000002</v>
      </c>
      <c r="E3" t="s">
        <v>22</v>
      </c>
      <c r="F3" s="10">
        <f>B3*B19-B4*B23*B20</f>
        <v>7.0146831626692006</v>
      </c>
      <c r="G3">
        <f>B24*B19</f>
        <v>0.29340960879482963</v>
      </c>
      <c r="H3">
        <f>(B24/(B3*B15))*B25</f>
        <v>8.4732711516635299E-3</v>
      </c>
      <c r="I3">
        <f>1/100*B3*B24*SQRT(B9)*B25</f>
        <v>0.55919702894091194</v>
      </c>
      <c r="J3">
        <f>1/B11*(-B3*B5*B24/(2*SQRT(B9))*B25-B6*B4*B23*B20+B8*B3*B24*B19)</f>
        <v>-7.3086020820514935E-2</v>
      </c>
      <c r="K3">
        <f>1/100*B4*B9*B23*B20</f>
        <v>0.23240563096556199</v>
      </c>
    </row>
    <row r="4" spans="1:11" x14ac:dyDescent="0.25">
      <c r="A4" s="1" t="s">
        <v>2</v>
      </c>
      <c r="B4" s="4">
        <v>335</v>
      </c>
      <c r="E4" t="s">
        <v>23</v>
      </c>
      <c r="F4" s="10">
        <f>B4*B23*B22-B3*B21</f>
        <v>32.797576922588831</v>
      </c>
      <c r="G4">
        <f>B24*B19-1</f>
        <v>-0.70659039120517031</v>
      </c>
      <c r="H4">
        <f>H3</f>
        <v>8.4732711516635299E-3</v>
      </c>
      <c r="I4">
        <f>I3</f>
        <v>0.55919702894091194</v>
      </c>
      <c r="J4">
        <f>1/B11*(-B3*B5*B24/(2*SQRT(B9))*B25+B6*B4*B23*B22-B8*B3*B24*B21)</f>
        <v>-5.4832163628190565E-2</v>
      </c>
      <c r="K4">
        <f>1/100*B4*B9*B23*B22</f>
        <v>0.69854108584298058</v>
      </c>
    </row>
    <row r="5" spans="1:11" x14ac:dyDescent="0.25">
      <c r="A5" s="1" t="s">
        <v>3</v>
      </c>
      <c r="B5" s="5">
        <v>0.25</v>
      </c>
    </row>
    <row r="6" spans="1:11" x14ac:dyDescent="0.25">
      <c r="A6" s="1" t="s">
        <v>4</v>
      </c>
      <c r="B6" s="5">
        <v>0.02</v>
      </c>
    </row>
    <row r="7" spans="1:11" x14ac:dyDescent="0.25">
      <c r="A7" s="1" t="s">
        <v>20</v>
      </c>
      <c r="B7" s="5">
        <v>0</v>
      </c>
      <c r="E7" t="s">
        <v>38</v>
      </c>
    </row>
    <row r="8" spans="1:11" x14ac:dyDescent="0.25">
      <c r="A8" s="1" t="s">
        <v>19</v>
      </c>
      <c r="B8" s="7">
        <v>0</v>
      </c>
      <c r="E8" t="s">
        <v>31</v>
      </c>
    </row>
    <row r="9" spans="1:11" x14ac:dyDescent="0.25">
      <c r="A9" s="1" t="s">
        <v>5</v>
      </c>
      <c r="B9" s="3">
        <f>B10/B11</f>
        <v>0.27945205479452057</v>
      </c>
      <c r="E9" t="s">
        <v>30</v>
      </c>
    </row>
    <row r="10" spans="1:11" x14ac:dyDescent="0.25">
      <c r="A10" s="6" t="s">
        <v>6</v>
      </c>
      <c r="B10" s="4">
        <v>102</v>
      </c>
      <c r="E10" t="s">
        <v>33</v>
      </c>
    </row>
    <row r="11" spans="1:11" x14ac:dyDescent="0.25">
      <c r="A11" s="6" t="s">
        <v>7</v>
      </c>
      <c r="B11" s="4">
        <v>365</v>
      </c>
      <c r="E11" t="s">
        <v>34</v>
      </c>
    </row>
    <row r="12" spans="1:11" x14ac:dyDescent="0.25">
      <c r="E12" t="s">
        <v>35</v>
      </c>
    </row>
    <row r="13" spans="1:11" x14ac:dyDescent="0.25">
      <c r="A13" s="2" t="s">
        <v>8</v>
      </c>
      <c r="E13" t="s">
        <v>36</v>
      </c>
    </row>
    <row r="14" spans="1:11" x14ac:dyDescent="0.25">
      <c r="A14" s="8" t="s">
        <v>9</v>
      </c>
      <c r="B14">
        <f>LN(B3/B4)</f>
        <v>-8.6143368472047926E-2</v>
      </c>
      <c r="E14" t="s">
        <v>37</v>
      </c>
    </row>
    <row r="15" spans="1:11" x14ac:dyDescent="0.25">
      <c r="A15" s="9" t="s">
        <v>21</v>
      </c>
      <c r="B15">
        <f>B5*SQRT(B9)</f>
        <v>0.13215806227641783</v>
      </c>
    </row>
    <row r="16" spans="1:11" x14ac:dyDescent="0.25">
      <c r="A16" s="8" t="s">
        <v>10</v>
      </c>
      <c r="B16">
        <f>(B6-B8+0.5*B5^2)*B9</f>
        <v>1.4321917808219181E-2</v>
      </c>
    </row>
    <row r="17" spans="1:2" x14ac:dyDescent="0.25">
      <c r="A17" s="8" t="s">
        <v>11</v>
      </c>
      <c r="B17">
        <f>(B14+B16)/B15</f>
        <v>-0.5434511480170553</v>
      </c>
    </row>
    <row r="18" spans="1:2" x14ac:dyDescent="0.25">
      <c r="A18" s="8" t="s">
        <v>12</v>
      </c>
      <c r="B18">
        <f>B17-B15</f>
        <v>-0.67560921029347309</v>
      </c>
    </row>
    <row r="19" spans="1:2" x14ac:dyDescent="0.25">
      <c r="A19" s="8" t="s">
        <v>13</v>
      </c>
      <c r="B19">
        <f>_xlfn.NORM.S.DIST(B17,TRUE)</f>
        <v>0.29340960879482963</v>
      </c>
    </row>
    <row r="20" spans="1:2" x14ac:dyDescent="0.25">
      <c r="A20" s="8" t="s">
        <v>14</v>
      </c>
      <c r="B20">
        <f>_xlfn.NORM.S.DIST(B18,TRUE)</f>
        <v>0.24964439615007339</v>
      </c>
    </row>
    <row r="21" spans="1:2" x14ac:dyDescent="0.25">
      <c r="A21" s="8" t="s">
        <v>16</v>
      </c>
      <c r="B21">
        <f>_xlfn.NORM.S.DIST(-B17,1)</f>
        <v>0.70659039120517031</v>
      </c>
    </row>
    <row r="22" spans="1:2" x14ac:dyDescent="0.25">
      <c r="A22" s="8" t="s">
        <v>15</v>
      </c>
      <c r="B22">
        <f t="shared" ref="B22" si="0">_xlfn.NORM.S.DIST(-B18,1)</f>
        <v>0.75035560384992661</v>
      </c>
    </row>
    <row r="23" spans="1:2" x14ac:dyDescent="0.25">
      <c r="A23" s="8" t="s">
        <v>17</v>
      </c>
      <c r="B23">
        <f>EXP(-B6*B9)</f>
        <v>0.99442654853707346</v>
      </c>
    </row>
    <row r="24" spans="1:2" x14ac:dyDescent="0.25">
      <c r="A24" s="8" t="s">
        <v>18</v>
      </c>
      <c r="B24">
        <f>EXP(-B8*B9)</f>
        <v>1</v>
      </c>
    </row>
    <row r="25" spans="1:2" x14ac:dyDescent="0.25">
      <c r="A25" s="8" t="s">
        <v>32</v>
      </c>
      <c r="B25">
        <f>1/SQRT(2*PI())*EXP(-0.5*B17^2)</f>
        <v>0.34417394052357397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EAFF-3950-4033-BA85-7C4BBC1104D7}">
  <sheetPr codeName="Sheet2"/>
  <dimension ref="A1:P22"/>
  <sheetViews>
    <sheetView workbookViewId="0">
      <selection activeCell="C10" sqref="C10"/>
    </sheetView>
  </sheetViews>
  <sheetFormatPr defaultRowHeight="15" x14ac:dyDescent="0.25"/>
  <cols>
    <col min="1" max="1" width="4.140625" customWidth="1"/>
    <col min="2" max="2" width="21.85546875" customWidth="1"/>
    <col min="3" max="3" width="18.85546875" customWidth="1"/>
  </cols>
  <sheetData>
    <row r="1" spans="1:16" x14ac:dyDescent="0.25">
      <c r="A1" s="2" t="s">
        <v>44</v>
      </c>
    </row>
    <row r="2" spans="1:16" x14ac:dyDescent="0.25">
      <c r="B2" t="s">
        <v>39</v>
      </c>
      <c r="C2" s="4">
        <v>50</v>
      </c>
    </row>
    <row r="3" spans="1:16" x14ac:dyDescent="0.25">
      <c r="B3" t="s">
        <v>40</v>
      </c>
      <c r="C3" s="4">
        <v>52</v>
      </c>
    </row>
    <row r="4" spans="1:16" x14ac:dyDescent="0.25">
      <c r="B4" t="s">
        <v>41</v>
      </c>
      <c r="C4" s="7">
        <v>0.75131145346874284</v>
      </c>
    </row>
    <row r="5" spans="1:16" x14ac:dyDescent="0.25">
      <c r="B5" t="s">
        <v>42</v>
      </c>
      <c r="C5" s="4">
        <v>0.5</v>
      </c>
    </row>
    <row r="6" spans="1:16" x14ac:dyDescent="0.25">
      <c r="B6" t="s">
        <v>43</v>
      </c>
      <c r="C6" s="7">
        <v>0.03</v>
      </c>
      <c r="L6" t="s">
        <v>46</v>
      </c>
    </row>
    <row r="7" spans="1:16" x14ac:dyDescent="0.25">
      <c r="L7" t="s">
        <v>47</v>
      </c>
    </row>
    <row r="8" spans="1:16" x14ac:dyDescent="0.25">
      <c r="B8" t="s">
        <v>45</v>
      </c>
      <c r="L8" t="s">
        <v>48</v>
      </c>
    </row>
    <row r="9" spans="1:16" x14ac:dyDescent="0.25">
      <c r="L9" t="s">
        <v>49</v>
      </c>
    </row>
    <row r="10" spans="1:16" x14ac:dyDescent="0.25">
      <c r="B10" t="s">
        <v>11</v>
      </c>
      <c r="C10" s="3">
        <f>(LN(C2/C3)+(C6+0.5*C4^2)*C5)/(C4*SQRT(C5))</f>
        <v>0.22003741820325842</v>
      </c>
    </row>
    <row r="11" spans="1:16" x14ac:dyDescent="0.25">
      <c r="B11" t="s">
        <v>12</v>
      </c>
      <c r="C11" s="3">
        <f>C10-C4*SQRT(C5)</f>
        <v>-0.31122000532761096</v>
      </c>
      <c r="L11" s="13" t="s">
        <v>51</v>
      </c>
      <c r="M11" s="13"/>
      <c r="N11" s="13"/>
      <c r="O11" s="13"/>
      <c r="P11" s="13"/>
    </row>
    <row r="12" spans="1:16" x14ac:dyDescent="0.25">
      <c r="B12" t="s">
        <v>13</v>
      </c>
      <c r="C12" s="3">
        <f>_xlfn.NORM.S.DIST(C10,1)</f>
        <v>0.58707899337723557</v>
      </c>
      <c r="L12" t="s">
        <v>52</v>
      </c>
    </row>
    <row r="13" spans="1:16" x14ac:dyDescent="0.25">
      <c r="B13" t="s">
        <v>14</v>
      </c>
      <c r="C13" s="3">
        <f>_xlfn.NORM.S.DIST(C11,1)</f>
        <v>0.37781668782321615</v>
      </c>
      <c r="L13" t="s">
        <v>53</v>
      </c>
    </row>
    <row r="15" spans="1:16" x14ac:dyDescent="0.25">
      <c r="B15" t="s">
        <v>50</v>
      </c>
      <c r="C15" s="12">
        <f>C2*C12-C3*EXP(-C6*C5)*C13</f>
        <v>9.9999797007532472</v>
      </c>
      <c r="L15" t="s">
        <v>54</v>
      </c>
    </row>
    <row r="17" spans="2:12" x14ac:dyDescent="0.25">
      <c r="B17" t="s">
        <v>55</v>
      </c>
      <c r="C17">
        <v>10</v>
      </c>
      <c r="L17" t="s">
        <v>56</v>
      </c>
    </row>
    <row r="18" spans="2:12" x14ac:dyDescent="0.25">
      <c r="L18" t="s">
        <v>57</v>
      </c>
    </row>
    <row r="19" spans="2:12" x14ac:dyDescent="0.25">
      <c r="L19" t="s">
        <v>58</v>
      </c>
    </row>
    <row r="20" spans="2:12" x14ac:dyDescent="0.25">
      <c r="L20" t="s">
        <v>59</v>
      </c>
    </row>
    <row r="21" spans="2:12" x14ac:dyDescent="0.25">
      <c r="L21" t="s">
        <v>60</v>
      </c>
    </row>
    <row r="22" spans="2:12" x14ac:dyDescent="0.25">
      <c r="L22" t="s">
        <v>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lied_vol">
                <anchor moveWithCells="1" sizeWithCells="1">
                  <from>
                    <xdr:col>6</xdr:col>
                    <xdr:colOff>66675</xdr:colOff>
                    <xdr:row>17</xdr:row>
                    <xdr:rowOff>0</xdr:rowOff>
                  </from>
                  <to>
                    <xdr:col>9</xdr:col>
                    <xdr:colOff>495300</xdr:colOff>
                    <xdr:row>18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BF6BE-F6A5-4FC5-B539-A11C20755C4B}">
  <sheetPr codeName="Sheet3"/>
  <dimension ref="A1:B18"/>
  <sheetViews>
    <sheetView workbookViewId="0">
      <selection activeCell="D19" sqref="D19"/>
    </sheetView>
  </sheetViews>
  <sheetFormatPr defaultRowHeight="15" x14ac:dyDescent="0.25"/>
  <cols>
    <col min="1" max="1" width="27" customWidth="1"/>
  </cols>
  <sheetData>
    <row r="1" spans="1:2" x14ac:dyDescent="0.25">
      <c r="A1" t="s">
        <v>62</v>
      </c>
    </row>
    <row r="3" spans="1:2" x14ac:dyDescent="0.25">
      <c r="A3" t="s">
        <v>39</v>
      </c>
      <c r="B3" s="4">
        <v>50</v>
      </c>
    </row>
    <row r="4" spans="1:2" x14ac:dyDescent="0.25">
      <c r="A4" t="s">
        <v>40</v>
      </c>
      <c r="B4" s="4">
        <v>52</v>
      </c>
    </row>
    <row r="5" spans="1:2" x14ac:dyDescent="0.25">
      <c r="A5" t="s">
        <v>41</v>
      </c>
      <c r="B5" s="7">
        <v>0.44788366390048451</v>
      </c>
    </row>
    <row r="6" spans="1:2" x14ac:dyDescent="0.25">
      <c r="A6" t="s">
        <v>42</v>
      </c>
      <c r="B6" s="4">
        <v>0.5</v>
      </c>
    </row>
    <row r="7" spans="1:2" x14ac:dyDescent="0.25">
      <c r="A7" t="s">
        <v>43</v>
      </c>
      <c r="B7" s="7">
        <v>0.03</v>
      </c>
    </row>
    <row r="9" spans="1:2" x14ac:dyDescent="0.25">
      <c r="A9" t="s">
        <v>45</v>
      </c>
    </row>
    <row r="11" spans="1:2" x14ac:dyDescent="0.25">
      <c r="A11" t="s">
        <v>11</v>
      </c>
      <c r="B11">
        <f>(LN(B3/B4)+(B7+0.5*B5^2)*B6)/(B6*SQRT(B6))</f>
        <v>7.3338940125674393E-2</v>
      </c>
    </row>
    <row r="12" spans="1:2" x14ac:dyDescent="0.25">
      <c r="A12" t="s">
        <v>12</v>
      </c>
      <c r="B12">
        <f>B11-B5*SQRT(B6)</f>
        <v>-0.24336263580103473</v>
      </c>
    </row>
    <row r="13" spans="1:2" x14ac:dyDescent="0.25">
      <c r="A13" t="s">
        <v>63</v>
      </c>
      <c r="B13">
        <f>_xlfn.NORM.S.DIST(-B11,1)</f>
        <v>0.47076820268795649</v>
      </c>
    </row>
    <row r="14" spans="1:2" x14ac:dyDescent="0.25">
      <c r="A14" t="s">
        <v>64</v>
      </c>
      <c r="B14">
        <f>_xlfn.NORM.S.DIST(-B12,1)</f>
        <v>0.59613775694289606</v>
      </c>
    </row>
    <row r="16" spans="1:2" x14ac:dyDescent="0.25">
      <c r="A16" t="s">
        <v>65</v>
      </c>
      <c r="B16">
        <f>B4*EXP(-B7*B6)*B14-B3*B13</f>
        <v>6.9992358102592185</v>
      </c>
    </row>
    <row r="18" spans="1:2" x14ac:dyDescent="0.25">
      <c r="A18" t="s">
        <v>66</v>
      </c>
      <c r="B18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mplied_vol_put">
                <anchor moveWithCells="1" sizeWithCells="1">
                  <from>
                    <xdr:col>4</xdr:col>
                    <xdr:colOff>47625</xdr:colOff>
                    <xdr:row>16</xdr:row>
                    <xdr:rowOff>28575</xdr:rowOff>
                  </from>
                  <to>
                    <xdr:col>7</xdr:col>
                    <xdr:colOff>571500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5F919-EB15-4149-B286-EBC8C0686D81}">
  <dimension ref="A1:X86"/>
  <sheetViews>
    <sheetView tabSelected="1" workbookViewId="0">
      <selection activeCell="J13" sqref="J13"/>
    </sheetView>
  </sheetViews>
  <sheetFormatPr defaultRowHeight="15" x14ac:dyDescent="0.25"/>
  <cols>
    <col min="2" max="2" width="9.85546875" bestFit="1" customWidth="1"/>
    <col min="3" max="3" width="10.85546875" bestFit="1" customWidth="1"/>
  </cols>
  <sheetData>
    <row r="1" spans="1:24" x14ac:dyDescent="0.25">
      <c r="A1" s="14" t="s">
        <v>68</v>
      </c>
      <c r="B1" s="14" t="s">
        <v>69</v>
      </c>
      <c r="C1" s="14" t="s">
        <v>76</v>
      </c>
      <c r="D1" s="14" t="s">
        <v>77</v>
      </c>
      <c r="G1" s="1" t="s">
        <v>80</v>
      </c>
      <c r="M1" s="2" t="s">
        <v>83</v>
      </c>
      <c r="U1" t="s">
        <v>68</v>
      </c>
      <c r="V1" t="s">
        <v>69</v>
      </c>
      <c r="W1" t="s">
        <v>76</v>
      </c>
      <c r="X1" t="s">
        <v>77</v>
      </c>
    </row>
    <row r="2" spans="1:24" x14ac:dyDescent="0.25">
      <c r="A2" s="16">
        <f>LN(U4/U3)</f>
        <v>9.2076884911878973E-2</v>
      </c>
      <c r="B2" s="17">
        <f>LN(V4/V3)</f>
        <v>3.7003983518293614E-2</v>
      </c>
      <c r="C2" s="16">
        <f>LN(W4/W3)</f>
        <v>-1.277805271395647E-3</v>
      </c>
      <c r="D2" s="16">
        <f>LN(X4/X3)</f>
        <v>7.2268007461400094E-2</v>
      </c>
      <c r="G2" s="19"/>
      <c r="H2" s="20" t="s">
        <v>68</v>
      </c>
      <c r="I2" s="20" t="s">
        <v>69</v>
      </c>
      <c r="J2" s="20" t="s">
        <v>76</v>
      </c>
      <c r="K2" s="24" t="s">
        <v>77</v>
      </c>
      <c r="U2" t="s">
        <v>67</v>
      </c>
      <c r="V2" t="s">
        <v>67</v>
      </c>
      <c r="W2" t="s">
        <v>67</v>
      </c>
      <c r="X2" t="s">
        <v>67</v>
      </c>
    </row>
    <row r="3" spans="1:24" x14ac:dyDescent="0.25">
      <c r="A3" s="16">
        <f t="shared" ref="A3:A60" si="0">LN(U5/U4)</f>
        <v>-2.7935392728731828E-2</v>
      </c>
      <c r="B3" s="17">
        <f t="shared" ref="B3:B60" si="1">LN(V5/V4)</f>
        <v>1.0485279152652933E-3</v>
      </c>
      <c r="C3" s="16">
        <f t="shared" ref="C3:C60" si="2">LN(W5/W4)</f>
        <v>-7.4350085579113268E-2</v>
      </c>
      <c r="D3" s="16">
        <f t="shared" ref="D3:D60" si="3">LN(X5/X4)</f>
        <v>-0.13078276146897677</v>
      </c>
      <c r="G3" s="18" t="s">
        <v>68</v>
      </c>
      <c r="H3" s="26">
        <f ca="1">_xlfn.COVARIANCE.S(INDIRECT(H$2),INDIRECT($G3))</f>
        <v>5.8050783923274544E-3</v>
      </c>
      <c r="I3" s="21">
        <f t="shared" ref="I3:K6" ca="1" si="4">_xlfn.COVARIANCE.S(INDIRECT(I$2),INDIRECT($G3))</f>
        <v>9.5441573651687994E-4</v>
      </c>
      <c r="J3" s="21">
        <f t="shared" ca="1" si="4"/>
        <v>2.2850279185340321E-3</v>
      </c>
      <c r="K3" s="25">
        <f t="shared" ca="1" si="4"/>
        <v>2.9853053524089256E-3</v>
      </c>
      <c r="M3" s="15">
        <f ca="1">AVERAGE(INDIRECT(G3))</f>
        <v>1.7008744318801099E-2</v>
      </c>
      <c r="U3">
        <v>26.185278</v>
      </c>
      <c r="V3">
        <v>127.143867</v>
      </c>
      <c r="W3">
        <v>13.573333</v>
      </c>
      <c r="X3">
        <v>63.114285000000002</v>
      </c>
    </row>
    <row r="4" spans="1:24" x14ac:dyDescent="0.25">
      <c r="A4" s="16">
        <f t="shared" si="0"/>
        <v>5.7697383847326719E-3</v>
      </c>
      <c r="B4" s="17">
        <f t="shared" si="1"/>
        <v>-4.594943198919009E-2</v>
      </c>
      <c r="C4" s="16">
        <f t="shared" si="2"/>
        <v>0.18022684447271256</v>
      </c>
      <c r="D4" s="16">
        <f t="shared" si="3"/>
        <v>0.28932464505449762</v>
      </c>
      <c r="G4" s="18" t="s">
        <v>69</v>
      </c>
      <c r="H4" s="21">
        <f t="shared" ref="H4:K6" ca="1" si="5">_xlfn.COVARIANCE.S(INDIRECT(H$2),INDIRECT($G4))</f>
        <v>9.5441573651687994E-4</v>
      </c>
      <c r="I4" s="26">
        <f t="shared" ca="1" si="4"/>
        <v>5.970798097386861E-3</v>
      </c>
      <c r="J4" s="21">
        <f t="shared" ca="1" si="4"/>
        <v>2.1361321687177862E-4</v>
      </c>
      <c r="K4" s="25">
        <f t="shared" ca="1" si="4"/>
        <v>3.1925434321095174E-3</v>
      </c>
      <c r="M4" s="15">
        <f t="shared" ref="M4:M6" ca="1" si="6">AVERAGE(INDIRECT(G4))</f>
        <v>1.5845753057621485E-2</v>
      </c>
      <c r="U4">
        <v>28.710825</v>
      </c>
      <c r="V4">
        <v>131.93682899999999</v>
      </c>
      <c r="W4">
        <v>13.555999999999999</v>
      </c>
      <c r="X4">
        <v>67.844284000000002</v>
      </c>
    </row>
    <row r="5" spans="1:24" x14ac:dyDescent="0.25">
      <c r="A5" s="16">
        <f t="shared" si="0"/>
        <v>4.0172802692008514E-2</v>
      </c>
      <c r="B5" s="17">
        <f t="shared" si="1"/>
        <v>-1.9869230976918291E-2</v>
      </c>
      <c r="C5" s="16">
        <f t="shared" si="2"/>
        <v>0.10389953520953732</v>
      </c>
      <c r="D5" s="16">
        <f t="shared" si="3"/>
        <v>0.114579340467857</v>
      </c>
      <c r="G5" s="18" t="s">
        <v>76</v>
      </c>
      <c r="H5" s="21">
        <f t="shared" ca="1" si="5"/>
        <v>2.2850279185340321E-3</v>
      </c>
      <c r="I5" s="21">
        <f t="shared" ca="1" si="4"/>
        <v>2.1361321687177862E-4</v>
      </c>
      <c r="J5" s="26">
        <f t="shared" ca="1" si="4"/>
        <v>1.4588306618893227E-2</v>
      </c>
      <c r="K5" s="25">
        <f t="shared" ca="1" si="4"/>
        <v>2.9429770576075986E-3</v>
      </c>
      <c r="M5" s="15">
        <f t="shared" ca="1" si="6"/>
        <v>1.2205310351111106E-2</v>
      </c>
      <c r="U5">
        <v>27.919875999999999</v>
      </c>
      <c r="V5">
        <v>132.07524100000001</v>
      </c>
      <c r="W5">
        <v>12.584667</v>
      </c>
      <c r="X5">
        <v>59.527141999999998</v>
      </c>
    </row>
    <row r="6" spans="1:24" ht="15.75" thickBot="1" x14ac:dyDescent="0.3">
      <c r="A6" s="16">
        <f t="shared" si="0"/>
        <v>-3.3769600536043248E-2</v>
      </c>
      <c r="B6" s="17">
        <f t="shared" si="1"/>
        <v>-6.5042475235463099E-3</v>
      </c>
      <c r="C6" s="16">
        <f t="shared" si="2"/>
        <v>6.7300966439693841E-2</v>
      </c>
      <c r="D6" s="16">
        <f t="shared" si="3"/>
        <v>5.1346185018768038E-2</v>
      </c>
      <c r="G6" s="22" t="s">
        <v>77</v>
      </c>
      <c r="H6" s="23">
        <f t="shared" ca="1" si="5"/>
        <v>2.9853053524089256E-3</v>
      </c>
      <c r="I6" s="23">
        <f t="shared" ca="1" si="4"/>
        <v>3.1925434321095174E-3</v>
      </c>
      <c r="J6" s="23">
        <f t="shared" ca="1" si="4"/>
        <v>2.9429770576075986E-3</v>
      </c>
      <c r="K6" s="27">
        <f t="shared" ca="1" si="4"/>
        <v>1.3075039777807784E-2</v>
      </c>
      <c r="M6" s="15">
        <f t="shared" ca="1" si="6"/>
        <v>2.7702853641717321E-2</v>
      </c>
      <c r="U6">
        <v>28.081432</v>
      </c>
      <c r="V6">
        <v>126.143776</v>
      </c>
      <c r="W6">
        <v>15.07</v>
      </c>
      <c r="X6">
        <v>79.5</v>
      </c>
    </row>
    <row r="7" spans="1:24" x14ac:dyDescent="0.25">
      <c r="A7" s="16">
        <f t="shared" si="0"/>
        <v>-3.3480931220710872E-2</v>
      </c>
      <c r="B7" s="17">
        <f t="shared" si="1"/>
        <v>3.8535284508423473E-2</v>
      </c>
      <c r="C7" s="16">
        <f t="shared" si="2"/>
        <v>-7.8966181982822042E-3</v>
      </c>
      <c r="D7" s="16">
        <f t="shared" si="3"/>
        <v>0.1972314913944935</v>
      </c>
      <c r="U7">
        <v>29.232507999999999</v>
      </c>
      <c r="V7">
        <v>123.662132</v>
      </c>
      <c r="W7">
        <v>16.719999000000001</v>
      </c>
      <c r="X7">
        <v>89.151427999999996</v>
      </c>
    </row>
    <row r="8" spans="1:24" x14ac:dyDescent="0.25">
      <c r="A8" s="16">
        <f t="shared" si="0"/>
        <v>-7.3005371510856953E-2</v>
      </c>
      <c r="B8" s="17">
        <f t="shared" si="1"/>
        <v>-9.8241422631883638E-2</v>
      </c>
      <c r="C8" s="16">
        <f t="shared" si="2"/>
        <v>-6.6366265898560636E-2</v>
      </c>
      <c r="D8" s="16">
        <f t="shared" si="3"/>
        <v>6.2789166731297436E-3</v>
      </c>
      <c r="G8" s="28"/>
      <c r="I8" s="28"/>
      <c r="U8">
        <v>28.26182</v>
      </c>
      <c r="V8">
        <v>122.86041299999999</v>
      </c>
      <c r="W8">
        <v>17.884001000000001</v>
      </c>
      <c r="X8">
        <v>93.848572000000004</v>
      </c>
    </row>
    <row r="9" spans="1:24" x14ac:dyDescent="0.25">
      <c r="A9" s="16">
        <f t="shared" si="0"/>
        <v>-1.7541457680213278E-2</v>
      </c>
      <c r="B9" s="17">
        <f t="shared" si="1"/>
        <v>8.423884445955071E-3</v>
      </c>
      <c r="C9" s="16">
        <f t="shared" si="2"/>
        <v>-2.6535416201538212E-3</v>
      </c>
      <c r="D9" s="16">
        <f t="shared" si="3"/>
        <v>-0.10794285639444755</v>
      </c>
      <c r="G9" s="28" t="s">
        <v>84</v>
      </c>
      <c r="U9">
        <v>27.331253</v>
      </c>
      <c r="V9">
        <v>127.687279</v>
      </c>
      <c r="W9">
        <v>17.743334000000001</v>
      </c>
      <c r="X9">
        <v>114.30999799999999</v>
      </c>
    </row>
    <row r="10" spans="1:24" x14ac:dyDescent="0.25">
      <c r="A10" s="16">
        <f t="shared" si="0"/>
        <v>8.0112485368935379E-2</v>
      </c>
      <c r="B10" s="17">
        <f t="shared" si="1"/>
        <v>0.12286954009193658</v>
      </c>
      <c r="C10" s="16">
        <f t="shared" si="2"/>
        <v>-0.18265974201187182</v>
      </c>
      <c r="D10" s="16">
        <f t="shared" si="3"/>
        <v>4.8393443637496932E-2</v>
      </c>
      <c r="G10" s="18" t="s">
        <v>68</v>
      </c>
      <c r="H10">
        <v>0.25563221076866832</v>
      </c>
      <c r="U10">
        <v>25.407018999999998</v>
      </c>
      <c r="V10">
        <v>115.739586</v>
      </c>
      <c r="W10">
        <v>16.603999999999999</v>
      </c>
      <c r="X10">
        <v>115.029999</v>
      </c>
    </row>
    <row r="11" spans="1:24" x14ac:dyDescent="0.25">
      <c r="A11" s="16">
        <f t="shared" si="0"/>
        <v>-1.0092629639734965E-2</v>
      </c>
      <c r="B11" s="17">
        <f t="shared" si="1"/>
        <v>-1.7852997685018832E-2</v>
      </c>
      <c r="C11" s="16">
        <f t="shared" si="2"/>
        <v>0.10682857929912495</v>
      </c>
      <c r="D11" s="16">
        <f t="shared" si="3"/>
        <v>0.12922016333696709</v>
      </c>
      <c r="G11" s="18" t="s">
        <v>69</v>
      </c>
      <c r="H11">
        <v>8.5939655891182409E-2</v>
      </c>
      <c r="U11">
        <v>24.965229000000001</v>
      </c>
      <c r="V11">
        <v>116.718681</v>
      </c>
      <c r="W11">
        <v>16.559999000000001</v>
      </c>
      <c r="X11">
        <v>103.260002</v>
      </c>
    </row>
    <row r="12" spans="1:24" x14ac:dyDescent="0.25">
      <c r="A12" s="16">
        <f t="shared" si="0"/>
        <v>-0.11251857861331065</v>
      </c>
      <c r="B12" s="17">
        <f t="shared" si="1"/>
        <v>2.3383828582995667E-4</v>
      </c>
      <c r="C12" s="16">
        <f t="shared" si="2"/>
        <v>4.1471545510382631E-2</v>
      </c>
      <c r="D12" s="16">
        <f t="shared" si="3"/>
        <v>-7.5337493535742886E-2</v>
      </c>
      <c r="G12" s="18" t="s">
        <v>76</v>
      </c>
      <c r="H12">
        <v>0</v>
      </c>
      <c r="U12">
        <v>27.047552</v>
      </c>
      <c r="V12">
        <v>131.97811899999999</v>
      </c>
      <c r="W12">
        <v>13.795332999999999</v>
      </c>
      <c r="X12">
        <v>108.379997</v>
      </c>
    </row>
    <row r="13" spans="1:24" ht="15.75" thickBot="1" x14ac:dyDescent="0.3">
      <c r="A13" s="16">
        <f t="shared" si="0"/>
        <v>-7.8223725867887325E-2</v>
      </c>
      <c r="B13" s="17">
        <f t="shared" si="1"/>
        <v>-0.18532753217482931</v>
      </c>
      <c r="C13" s="16">
        <f t="shared" si="2"/>
        <v>-0.2273606457025561</v>
      </c>
      <c r="D13" s="16">
        <f t="shared" si="3"/>
        <v>-0.21947832324155989</v>
      </c>
      <c r="G13" s="22" t="s">
        <v>77</v>
      </c>
      <c r="H13">
        <v>0.65842813334014938</v>
      </c>
      <c r="U13">
        <v>26.775943999999999</v>
      </c>
      <c r="V13">
        <v>129.642822</v>
      </c>
      <c r="W13">
        <v>15.350667</v>
      </c>
      <c r="X13">
        <v>123.33000199999999</v>
      </c>
    </row>
    <row r="14" spans="1:24" x14ac:dyDescent="0.25">
      <c r="A14" s="16">
        <f t="shared" si="0"/>
        <v>-6.7003231425477846E-3</v>
      </c>
      <c r="B14" s="17">
        <f t="shared" si="1"/>
        <v>-1.6365666542775138E-2</v>
      </c>
      <c r="C14" s="16">
        <f t="shared" si="2"/>
        <v>3.8106693986935765E-3</v>
      </c>
      <c r="D14" s="16">
        <f t="shared" si="3"/>
        <v>1.6950559689475671E-2</v>
      </c>
      <c r="H14">
        <f>SUM(H10:H13)</f>
        <v>1</v>
      </c>
      <c r="U14">
        <v>23.926468</v>
      </c>
      <c r="V14">
        <v>129.67314099999999</v>
      </c>
      <c r="W14">
        <v>16.000668000000001</v>
      </c>
      <c r="X14">
        <v>114.379997</v>
      </c>
    </row>
    <row r="15" spans="1:24" x14ac:dyDescent="0.25">
      <c r="A15" s="16">
        <f t="shared" si="0"/>
        <v>0.12515798279978765</v>
      </c>
      <c r="B15" s="17">
        <f t="shared" si="1"/>
        <v>8.0716963016122217E-2</v>
      </c>
      <c r="C15" s="16">
        <f t="shared" si="2"/>
        <v>0.17994811242299003</v>
      </c>
      <c r="D15" s="16">
        <f t="shared" si="3"/>
        <v>9.0226757407791458E-2</v>
      </c>
      <c r="U15">
        <v>22.126180999999999</v>
      </c>
      <c r="V15">
        <v>107.73661</v>
      </c>
      <c r="W15">
        <v>12.746667</v>
      </c>
      <c r="X15">
        <v>91.839995999999999</v>
      </c>
    </row>
    <row r="16" spans="1:24" x14ac:dyDescent="0.25">
      <c r="A16" s="16">
        <f t="shared" si="0"/>
        <v>-0.15073119739293442</v>
      </c>
      <c r="B16" s="17">
        <f t="shared" si="1"/>
        <v>6.0077725819437246E-2</v>
      </c>
      <c r="C16" s="16">
        <f t="shared" si="2"/>
        <v>4.6721798857527405E-2</v>
      </c>
      <c r="D16" s="16">
        <f t="shared" si="3"/>
        <v>-0.12708226910153878</v>
      </c>
      <c r="G16" s="28" t="s">
        <v>96</v>
      </c>
      <c r="J16" s="2" t="s">
        <v>99</v>
      </c>
      <c r="U16">
        <v>21.978424</v>
      </c>
      <c r="V16">
        <v>105.98777800000001</v>
      </c>
      <c r="W16">
        <v>12.795332999999999</v>
      </c>
      <c r="X16">
        <v>93.410004000000001</v>
      </c>
    </row>
    <row r="17" spans="1:24" x14ac:dyDescent="0.25">
      <c r="A17" s="16">
        <f t="shared" si="0"/>
        <v>6.3244489306802168E-2</v>
      </c>
      <c r="B17" s="17">
        <f t="shared" si="1"/>
        <v>-6.6320604021741045E-2</v>
      </c>
      <c r="C17" s="16">
        <f t="shared" si="2"/>
        <v>-7.5597977369859667E-2</v>
      </c>
      <c r="D17" s="16">
        <f t="shared" si="3"/>
        <v>0.13040255530634279</v>
      </c>
      <c r="G17" s="28" t="s">
        <v>88</v>
      </c>
      <c r="H17" s="17">
        <f t="array" aca="1" ref="H17" ca="1">MMULT(TRANSPOSE(H10:H13),M3:M6)</f>
        <v>2.3950099689234089E-2</v>
      </c>
      <c r="J17" s="16">
        <f ca="1">12*H17</f>
        <v>0.28740119627080907</v>
      </c>
      <c r="U17">
        <v>24.908752</v>
      </c>
      <c r="V17">
        <v>114.897537</v>
      </c>
      <c r="W17">
        <v>15.318</v>
      </c>
      <c r="X17">
        <v>102.230003</v>
      </c>
    </row>
    <row r="18" spans="1:24" x14ac:dyDescent="0.25">
      <c r="A18" s="16">
        <f t="shared" si="0"/>
        <v>-3.7526506841315234E-2</v>
      </c>
      <c r="B18" s="17">
        <f t="shared" si="1"/>
        <v>3.7186100320814687E-2</v>
      </c>
      <c r="C18" s="16">
        <f t="shared" si="2"/>
        <v>-5.0296472117585422E-2</v>
      </c>
      <c r="D18" s="16">
        <f t="shared" si="3"/>
        <v>-0.11442509037068635</v>
      </c>
      <c r="U18">
        <v>21.423490999999999</v>
      </c>
      <c r="V18">
        <v>122.011887</v>
      </c>
      <c r="W18">
        <v>16.050667000000001</v>
      </c>
      <c r="X18">
        <v>90.029999000000004</v>
      </c>
    </row>
    <row r="19" spans="1:24" x14ac:dyDescent="0.25">
      <c r="A19" s="16">
        <f t="shared" si="0"/>
        <v>8.6235268158365047E-2</v>
      </c>
      <c r="B19" s="17">
        <f t="shared" si="1"/>
        <v>2.8765127210874711E-2</v>
      </c>
      <c r="C19" s="16">
        <f t="shared" si="2"/>
        <v>0.10078536094509745</v>
      </c>
      <c r="D19" s="16">
        <f t="shared" si="3"/>
        <v>-2.5174094860322192E-3</v>
      </c>
      <c r="G19" s="28" t="s">
        <v>97</v>
      </c>
      <c r="J19" s="2" t="s">
        <v>98</v>
      </c>
      <c r="U19">
        <v>22.822171999999998</v>
      </c>
      <c r="V19">
        <v>114.18248</v>
      </c>
      <c r="W19">
        <v>14.882</v>
      </c>
      <c r="X19">
        <v>102.57</v>
      </c>
    </row>
    <row r="20" spans="1:24" x14ac:dyDescent="0.25">
      <c r="A20" s="16">
        <f t="shared" si="0"/>
        <v>1.7974132428440232E-2</v>
      </c>
      <c r="B20" s="17">
        <f t="shared" si="1"/>
        <v>-3.2004484596627927E-2</v>
      </c>
      <c r="C20" s="16">
        <f t="shared" si="2"/>
        <v>-0.102058075533919</v>
      </c>
      <c r="D20" s="16">
        <f t="shared" si="3"/>
        <v>6.5736402705950367E-2</v>
      </c>
      <c r="G20" s="28" t="s">
        <v>89</v>
      </c>
      <c r="H20" s="15">
        <f t="array" aca="1" ref="H20" ca="1">MMULT(TRANSPOSE(H10:H13),MMULT(H3:K6,H10:H13))</f>
        <v>7.5000197085835964E-3</v>
      </c>
      <c r="U20">
        <v>21.981605999999999</v>
      </c>
      <c r="V20">
        <v>118.508415</v>
      </c>
      <c r="W20">
        <v>14.151999999999999</v>
      </c>
      <c r="X20">
        <v>91.480002999999996</v>
      </c>
    </row>
    <row r="21" spans="1:24" x14ac:dyDescent="0.25">
      <c r="A21" s="16">
        <f t="shared" si="0"/>
        <v>6.8850433085580115E-2</v>
      </c>
      <c r="B21" s="17">
        <f t="shared" si="1"/>
        <v>2.5788578269676794E-2</v>
      </c>
      <c r="C21" s="16">
        <f t="shared" si="2"/>
        <v>-3.836640151521558E-2</v>
      </c>
      <c r="D21" s="16">
        <f t="shared" si="3"/>
        <v>1.1224668871577687E-2</v>
      </c>
      <c r="G21" s="28" t="s">
        <v>95</v>
      </c>
      <c r="H21" s="15">
        <f ca="1">SQRT(H20)</f>
        <v>8.6602654165929563E-2</v>
      </c>
      <c r="J21" s="15">
        <f ca="1">H21*SQRT(12)</f>
        <v>0.300000394171413</v>
      </c>
      <c r="L21" t="s">
        <v>100</v>
      </c>
      <c r="U21">
        <v>23.96133</v>
      </c>
      <c r="V21">
        <v>121.96682699999999</v>
      </c>
      <c r="W21">
        <v>15.652666999999999</v>
      </c>
      <c r="X21">
        <v>91.25</v>
      </c>
    </row>
    <row r="22" spans="1:24" x14ac:dyDescent="0.25">
      <c r="A22" s="16">
        <f t="shared" si="0"/>
        <v>4.3250160035131291E-3</v>
      </c>
      <c r="B22" s="17">
        <f t="shared" si="1"/>
        <v>7.8020259023890759E-2</v>
      </c>
      <c r="C22" s="16">
        <f t="shared" si="2"/>
        <v>-3.1364578122918811E-2</v>
      </c>
      <c r="D22" s="16">
        <f t="shared" si="3"/>
        <v>0.23670915611191026</v>
      </c>
      <c r="U22">
        <v>24.395907999999999</v>
      </c>
      <c r="V22">
        <v>118.125145</v>
      </c>
      <c r="W22">
        <v>14.134</v>
      </c>
      <c r="X22">
        <v>97.449996999999996</v>
      </c>
    </row>
    <row r="23" spans="1:24" x14ac:dyDescent="0.25">
      <c r="A23" s="16">
        <f t="shared" si="0"/>
        <v>-2.6958633832027418E-2</v>
      </c>
      <c r="B23" s="17">
        <f t="shared" si="1"/>
        <v>5.5511087193968418E-2</v>
      </c>
      <c r="C23" s="16">
        <f t="shared" si="2"/>
        <v>-4.3041256581605521E-2</v>
      </c>
      <c r="D23" s="16">
        <f t="shared" si="3"/>
        <v>-6.5099285354283332E-2</v>
      </c>
      <c r="G23" s="28" t="s">
        <v>101</v>
      </c>
      <c r="U23">
        <v>26.13475</v>
      </c>
      <c r="V23">
        <v>121.211044</v>
      </c>
      <c r="W23">
        <v>13.602</v>
      </c>
      <c r="X23">
        <v>98.550003000000004</v>
      </c>
    </row>
    <row r="24" spans="1:24" x14ac:dyDescent="0.25">
      <c r="A24" s="16">
        <f t="shared" si="0"/>
        <v>5.1961755337659565E-2</v>
      </c>
      <c r="B24" s="17">
        <f t="shared" si="1"/>
        <v>4.1090677058691565E-2</v>
      </c>
      <c r="C24" s="16">
        <f t="shared" si="2"/>
        <v>0.12066515950723943</v>
      </c>
      <c r="D24" s="16">
        <f t="shared" si="3"/>
        <v>5.6493449685372711E-2</v>
      </c>
      <c r="G24" s="28" t="s">
        <v>102</v>
      </c>
      <c r="H24" s="29">
        <v>0.04</v>
      </c>
      <c r="U24">
        <v>26.248028000000001</v>
      </c>
      <c r="V24">
        <v>131.046661</v>
      </c>
      <c r="W24">
        <v>13.182</v>
      </c>
      <c r="X24">
        <v>124.870003</v>
      </c>
    </row>
    <row r="25" spans="1:24" x14ac:dyDescent="0.25">
      <c r="A25" s="16">
        <f t="shared" si="0"/>
        <v>4.6641784642580106E-2</v>
      </c>
      <c r="B25" s="17">
        <f t="shared" si="1"/>
        <v>4.8520953832391155E-2</v>
      </c>
      <c r="C25" s="16">
        <f t="shared" si="2"/>
        <v>0.16462494418144547</v>
      </c>
      <c r="D25" s="16">
        <f t="shared" si="3"/>
        <v>0.12803370006474243</v>
      </c>
      <c r="G25" s="28" t="s">
        <v>103</v>
      </c>
      <c r="H25" s="30">
        <f ca="1">(J17-H24)/J21</f>
        <v>0.82466957069879709</v>
      </c>
      <c r="U25">
        <v>25.549869999999999</v>
      </c>
      <c r="V25">
        <v>138.52690100000001</v>
      </c>
      <c r="W25">
        <v>12.626666999999999</v>
      </c>
      <c r="X25">
        <v>117</v>
      </c>
    </row>
    <row r="26" spans="1:24" x14ac:dyDescent="0.25">
      <c r="A26" s="16">
        <f t="shared" si="0"/>
        <v>0.1212286707135084</v>
      </c>
      <c r="B26" s="17">
        <f t="shared" si="1"/>
        <v>9.7910461972258514E-2</v>
      </c>
      <c r="C26" s="16">
        <f t="shared" si="2"/>
        <v>-7.7303937775924769E-3</v>
      </c>
      <c r="D26" s="16">
        <f t="shared" si="3"/>
        <v>1.0041082382110308E-2</v>
      </c>
      <c r="U26">
        <v>26.912583999999999</v>
      </c>
      <c r="V26">
        <v>144.33763099999999</v>
      </c>
      <c r="W26">
        <v>14.246</v>
      </c>
      <c r="X26">
        <v>123.800003</v>
      </c>
    </row>
    <row r="27" spans="1:24" x14ac:dyDescent="0.25">
      <c r="A27" s="16">
        <f t="shared" si="0"/>
        <v>5.1867883918261672E-2</v>
      </c>
      <c r="B27" s="17">
        <f t="shared" si="1"/>
        <v>-1.0310202834589005E-2</v>
      </c>
      <c r="C27" s="16">
        <f t="shared" si="2"/>
        <v>0.10727873350339626</v>
      </c>
      <c r="D27" s="16">
        <f t="shared" si="3"/>
        <v>3.9185484763115806E-2</v>
      </c>
      <c r="U27">
        <v>28.197569000000001</v>
      </c>
      <c r="V27">
        <v>151.51371800000001</v>
      </c>
      <c r="W27">
        <v>16.795334</v>
      </c>
      <c r="X27">
        <v>140.71000699999999</v>
      </c>
    </row>
    <row r="28" spans="1:24" x14ac:dyDescent="0.25">
      <c r="A28" s="16">
        <f t="shared" si="0"/>
        <v>-6.9529775169803622E-5</v>
      </c>
      <c r="B28" s="17">
        <f t="shared" si="1"/>
        <v>4.4077941469594241E-2</v>
      </c>
      <c r="C28" s="16">
        <f t="shared" si="2"/>
        <v>0.12091624043375195</v>
      </c>
      <c r="D28" s="16">
        <f t="shared" si="3"/>
        <v>2.9267774023581432E-2</v>
      </c>
      <c r="G28" s="31" t="s">
        <v>104</v>
      </c>
      <c r="U28">
        <v>31.831757</v>
      </c>
      <c r="V28">
        <v>167.09903</v>
      </c>
      <c r="W28">
        <v>16.666</v>
      </c>
      <c r="X28">
        <v>142.13000500000001</v>
      </c>
    </row>
    <row r="29" spans="1:24" x14ac:dyDescent="0.25">
      <c r="A29" s="16">
        <f t="shared" si="0"/>
        <v>6.148812062868262E-2</v>
      </c>
      <c r="B29" s="17">
        <f t="shared" si="1"/>
        <v>1.5035548547495553E-2</v>
      </c>
      <c r="C29" s="16">
        <f t="shared" si="2"/>
        <v>8.2295867380374782E-2</v>
      </c>
      <c r="D29" s="16">
        <f t="shared" si="3"/>
        <v>6.8984173682856934E-2</v>
      </c>
      <c r="G29" s="31" t="s">
        <v>105</v>
      </c>
      <c r="U29">
        <v>33.526370999999997</v>
      </c>
      <c r="V29">
        <v>165.38505599999999</v>
      </c>
      <c r="W29">
        <v>18.553332999999999</v>
      </c>
      <c r="X29">
        <v>147.80999800000001</v>
      </c>
    </row>
    <row r="30" spans="1:24" x14ac:dyDescent="0.25">
      <c r="A30" s="16">
        <f t="shared" si="0"/>
        <v>-5.4796482243936399E-2</v>
      </c>
      <c r="B30" s="17">
        <f t="shared" si="1"/>
        <v>6.0157885533282648E-2</v>
      </c>
      <c r="C30" s="16">
        <f t="shared" si="2"/>
        <v>5.8654469314934794E-2</v>
      </c>
      <c r="D30" s="16">
        <f t="shared" si="3"/>
        <v>-8.7485367764572872E-2</v>
      </c>
      <c r="G30" s="31" t="s">
        <v>106</v>
      </c>
      <c r="U30">
        <v>33.524039999999999</v>
      </c>
      <c r="V30">
        <v>172.83793600000001</v>
      </c>
      <c r="W30">
        <v>20.937999999999999</v>
      </c>
      <c r="X30">
        <v>152.199997</v>
      </c>
    </row>
    <row r="31" spans="1:24" x14ac:dyDescent="0.25">
      <c r="A31" s="16">
        <f t="shared" si="0"/>
        <v>3.2180423736042421E-2</v>
      </c>
      <c r="B31" s="17">
        <f t="shared" si="1"/>
        <v>0.20383313449320226</v>
      </c>
      <c r="C31" s="16">
        <f t="shared" si="2"/>
        <v>-0.11145983829981058</v>
      </c>
      <c r="D31" s="16">
        <f t="shared" si="3"/>
        <v>0.19544259845826109</v>
      </c>
      <c r="U31">
        <v>35.650063000000003</v>
      </c>
      <c r="V31">
        <v>175.45628400000001</v>
      </c>
      <c r="W31">
        <v>22.733999000000001</v>
      </c>
      <c r="X31">
        <v>163.070007</v>
      </c>
    </row>
    <row r="32" spans="1:24" x14ac:dyDescent="0.25">
      <c r="A32" s="16">
        <f t="shared" si="0"/>
        <v>9.7733629258709487E-2</v>
      </c>
      <c r="B32" s="17">
        <f t="shared" si="1"/>
        <v>-1.161545142717206E-2</v>
      </c>
      <c r="C32" s="16">
        <f t="shared" si="2"/>
        <v>9.5543417170164818E-2</v>
      </c>
      <c r="D32" s="16">
        <f t="shared" si="3"/>
        <v>-3.9009333540475817E-2</v>
      </c>
      <c r="G32" t="s">
        <v>107</v>
      </c>
      <c r="U32">
        <v>33.749122999999997</v>
      </c>
      <c r="V32">
        <v>186.33531199999999</v>
      </c>
      <c r="W32">
        <v>24.107332</v>
      </c>
      <c r="X32">
        <v>149.41000399999999</v>
      </c>
    </row>
    <row r="33" spans="1:24" x14ac:dyDescent="0.25">
      <c r="A33" s="16">
        <f t="shared" si="0"/>
        <v>-5.8215719361261707E-2</v>
      </c>
      <c r="B33" s="17">
        <f t="shared" si="1"/>
        <v>6.4886004920122684E-2</v>
      </c>
      <c r="C33" s="16">
        <f t="shared" si="2"/>
        <v>-4.2474117140436973E-2</v>
      </c>
      <c r="D33" s="16">
        <f t="shared" si="3"/>
        <v>3.730140226135728E-2</v>
      </c>
      <c r="G33" t="s">
        <v>108</v>
      </c>
      <c r="U33">
        <v>34.852848000000002</v>
      </c>
      <c r="V33">
        <v>228.46452300000001</v>
      </c>
      <c r="W33">
        <v>21.564667</v>
      </c>
      <c r="X33">
        <v>181.66000399999999</v>
      </c>
    </row>
    <row r="34" spans="1:24" x14ac:dyDescent="0.25">
      <c r="A34" s="16">
        <f t="shared" si="0"/>
        <v>9.2403894071900694E-2</v>
      </c>
      <c r="B34" s="17">
        <f t="shared" si="1"/>
        <v>1.4721322513585322E-2</v>
      </c>
      <c r="C34" s="16">
        <f t="shared" si="2"/>
        <v>-2.8457431400574665E-2</v>
      </c>
      <c r="D34" s="16">
        <f t="shared" si="3"/>
        <v>7.9877199295974657E-2</v>
      </c>
      <c r="U34">
        <v>38.431156000000001</v>
      </c>
      <c r="V34">
        <v>225.82615699999999</v>
      </c>
      <c r="W34">
        <v>23.726666999999999</v>
      </c>
      <c r="X34">
        <v>174.71000699999999</v>
      </c>
    </row>
    <row r="35" spans="1:24" x14ac:dyDescent="0.25">
      <c r="A35" s="16">
        <f t="shared" si="0"/>
        <v>1.6486657969819164E-2</v>
      </c>
      <c r="B35" s="17">
        <f t="shared" si="1"/>
        <v>7.0413131408151433E-2</v>
      </c>
      <c r="C35" s="16">
        <f t="shared" si="2"/>
        <v>-7.0862535882117078E-2</v>
      </c>
      <c r="D35" s="16">
        <f t="shared" si="3"/>
        <v>-4.6100666367169897E-2</v>
      </c>
      <c r="U35">
        <v>36.257736000000001</v>
      </c>
      <c r="V35">
        <v>240.96495100000001</v>
      </c>
      <c r="W35">
        <v>22.74</v>
      </c>
      <c r="X35">
        <v>181.35000600000001</v>
      </c>
    </row>
    <row r="36" spans="1:24" x14ac:dyDescent="0.25">
      <c r="A36" s="16">
        <f t="shared" si="0"/>
        <v>-1.177485528004641E-2</v>
      </c>
      <c r="B36" s="17">
        <f t="shared" si="1"/>
        <v>6.873650355135015E-2</v>
      </c>
      <c r="C36" s="16">
        <f t="shared" si="2"/>
        <v>8.0619270583574092E-3</v>
      </c>
      <c r="D36" s="16">
        <f t="shared" si="3"/>
        <v>2.3081621713064601E-2</v>
      </c>
      <c r="U36">
        <v>39.767764999999997</v>
      </c>
      <c r="V36">
        <v>244.53851299999999</v>
      </c>
      <c r="W36">
        <v>22.101998999999999</v>
      </c>
      <c r="X36">
        <v>196.429993</v>
      </c>
    </row>
    <row r="37" spans="1:24" x14ac:dyDescent="0.25">
      <c r="A37" s="16">
        <f t="shared" si="0"/>
        <v>-1.0693558433095163E-2</v>
      </c>
      <c r="B37" s="17">
        <f t="shared" si="1"/>
        <v>0.18367121079985876</v>
      </c>
      <c r="C37" s="16">
        <f t="shared" si="2"/>
        <v>0.12925460105314834</v>
      </c>
      <c r="D37" s="16">
        <f t="shared" si="3"/>
        <v>0.34224535543130985</v>
      </c>
      <c r="U37">
        <v>40.428837000000001</v>
      </c>
      <c r="V37">
        <v>262.37792999999999</v>
      </c>
      <c r="W37">
        <v>20.59</v>
      </c>
      <c r="X37">
        <v>187.58000200000001</v>
      </c>
    </row>
    <row r="38" spans="1:24" x14ac:dyDescent="0.25">
      <c r="A38" s="16">
        <f t="shared" si="0"/>
        <v>6.1892324646237777E-2</v>
      </c>
      <c r="B38" s="17">
        <f t="shared" si="1"/>
        <v>2.1882505831021679E-2</v>
      </c>
      <c r="C38" s="16">
        <f t="shared" si="2"/>
        <v>-3.2266876697024972E-2</v>
      </c>
      <c r="D38" s="16">
        <f t="shared" si="3"/>
        <v>7.509586549828802E-2</v>
      </c>
      <c r="U38">
        <v>39.955584999999999</v>
      </c>
      <c r="V38">
        <v>281.04714999999999</v>
      </c>
      <c r="W38">
        <v>20.756665999999999</v>
      </c>
      <c r="X38">
        <v>191.96000699999999</v>
      </c>
    </row>
    <row r="39" spans="1:24" x14ac:dyDescent="0.25">
      <c r="A39" s="16">
        <f t="shared" si="0"/>
        <v>-5.5735140687712133E-2</v>
      </c>
      <c r="B39" s="17">
        <f t="shared" si="1"/>
        <v>-9.4652078147734534E-2</v>
      </c>
      <c r="C39" s="16">
        <f t="shared" si="2"/>
        <v>-0.25392040599235394</v>
      </c>
      <c r="D39" s="16">
        <f t="shared" si="3"/>
        <v>1.3532839682552355E-2</v>
      </c>
      <c r="U39">
        <v>39.530594000000001</v>
      </c>
      <c r="V39">
        <v>337.71206699999999</v>
      </c>
      <c r="W39">
        <v>23.620667000000001</v>
      </c>
      <c r="X39">
        <v>270.29998799999998</v>
      </c>
    </row>
    <row r="40" spans="1:24" x14ac:dyDescent="0.25">
      <c r="A40" s="16">
        <f t="shared" si="0"/>
        <v>-1.5133543761245963E-2</v>
      </c>
      <c r="B40" s="17">
        <f t="shared" si="1"/>
        <v>1.7174901655310607E-2</v>
      </c>
      <c r="C40" s="16">
        <f t="shared" si="2"/>
        <v>9.9254537810477217E-2</v>
      </c>
      <c r="D40" s="16">
        <f t="shared" si="3"/>
        <v>5.631531811194506E-2</v>
      </c>
      <c r="U40">
        <v>42.054535000000001</v>
      </c>
      <c r="V40">
        <v>345.18350199999998</v>
      </c>
      <c r="W40">
        <v>22.870667000000001</v>
      </c>
      <c r="X40">
        <v>291.38000499999998</v>
      </c>
    </row>
    <row r="41" spans="1:24" x14ac:dyDescent="0.25">
      <c r="A41" s="16">
        <f t="shared" si="0"/>
        <v>0.12289335654621777</v>
      </c>
      <c r="B41" s="17">
        <f t="shared" si="1"/>
        <v>5.4263059135517253E-2</v>
      </c>
      <c r="C41" s="16">
        <f t="shared" si="2"/>
        <v>-3.1698142564001566E-2</v>
      </c>
      <c r="D41" s="16">
        <f t="shared" si="3"/>
        <v>0.11801775069579845</v>
      </c>
      <c r="U41">
        <v>39.774742000000003</v>
      </c>
      <c r="V41">
        <v>314.00976600000001</v>
      </c>
      <c r="W41">
        <v>17.742000999999998</v>
      </c>
      <c r="X41">
        <v>295.35000600000001</v>
      </c>
    </row>
    <row r="42" spans="1:24" x14ac:dyDescent="0.25">
      <c r="A42" s="16">
        <f t="shared" si="0"/>
        <v>-5.6145176906506056E-3</v>
      </c>
      <c r="B42" s="17">
        <f t="shared" si="1"/>
        <v>-4.3457960045757353E-2</v>
      </c>
      <c r="C42" s="16">
        <f t="shared" si="2"/>
        <v>0.18604328655543501</v>
      </c>
      <c r="D42" s="16">
        <f t="shared" si="3"/>
        <v>0.10731249919616447</v>
      </c>
      <c r="U42">
        <v>39.177340999999998</v>
      </c>
      <c r="V42">
        <v>319.449432</v>
      </c>
      <c r="W42">
        <v>19.593332</v>
      </c>
      <c r="X42">
        <v>312.459991</v>
      </c>
    </row>
    <row r="43" spans="1:24" x14ac:dyDescent="0.25">
      <c r="A43" s="16">
        <f t="shared" si="0"/>
        <v>2.7598976910580976E-2</v>
      </c>
      <c r="B43" s="17">
        <f t="shared" si="1"/>
        <v>6.0121346818219269E-2</v>
      </c>
      <c r="C43" s="16">
        <f t="shared" si="2"/>
        <v>-0.14002152483559654</v>
      </c>
      <c r="D43" s="16">
        <f t="shared" si="3"/>
        <v>-0.14838929532179396</v>
      </c>
      <c r="U43">
        <v>44.300319999999999</v>
      </c>
      <c r="V43">
        <v>337.26266500000003</v>
      </c>
      <c r="W43">
        <v>18.981999999999999</v>
      </c>
      <c r="X43">
        <v>351.60000600000001</v>
      </c>
    </row>
    <row r="44" spans="1:24" x14ac:dyDescent="0.25">
      <c r="A44" s="16">
        <f t="shared" si="0"/>
        <v>0.17917246992617744</v>
      </c>
      <c r="B44" s="17">
        <f t="shared" si="1"/>
        <v>-3.8654935415810963E-2</v>
      </c>
      <c r="C44" s="16">
        <f t="shared" si="2"/>
        <v>1.1737397659852662E-2</v>
      </c>
      <c r="D44" s="16">
        <f t="shared" si="3"/>
        <v>8.5795588871857884E-2</v>
      </c>
      <c r="U44">
        <v>44.052292000000001</v>
      </c>
      <c r="V44">
        <v>322.91982999999999</v>
      </c>
      <c r="W44">
        <v>22.863333000000001</v>
      </c>
      <c r="X44">
        <v>391.42999300000002</v>
      </c>
    </row>
    <row r="45" spans="1:24" x14ac:dyDescent="0.25">
      <c r="A45" s="16">
        <f t="shared" si="0"/>
        <v>-4.8364573300484675E-3</v>
      </c>
      <c r="B45" s="17">
        <f t="shared" si="1"/>
        <v>8.6435858354672393E-2</v>
      </c>
      <c r="C45" s="16">
        <f t="shared" si="2"/>
        <v>-0.13043901648116538</v>
      </c>
      <c r="D45" s="16">
        <f t="shared" si="3"/>
        <v>1.7390368343007438E-2</v>
      </c>
      <c r="U45">
        <v>45.285023000000002</v>
      </c>
      <c r="V45">
        <v>342.929688</v>
      </c>
      <c r="W45">
        <v>19.875999</v>
      </c>
      <c r="X45">
        <v>337.45001200000002</v>
      </c>
    </row>
    <row r="46" spans="1:24" x14ac:dyDescent="0.25">
      <c r="A46" s="16">
        <f t="shared" si="0"/>
        <v>-3.0951805621707622E-2</v>
      </c>
      <c r="B46" s="17">
        <f t="shared" si="1"/>
        <v>-4.6901636587783513E-2</v>
      </c>
      <c r="C46" s="16">
        <f t="shared" si="2"/>
        <v>0.24217057346556436</v>
      </c>
      <c r="D46" s="16">
        <f t="shared" si="3"/>
        <v>-0.21490507219327085</v>
      </c>
      <c r="U46">
        <v>54.171168999999999</v>
      </c>
      <c r="V46">
        <v>329.92669699999999</v>
      </c>
      <c r="W46">
        <v>20.110665999999998</v>
      </c>
      <c r="X46">
        <v>367.67999300000002</v>
      </c>
    </row>
    <row r="47" spans="1:24" x14ac:dyDescent="0.25">
      <c r="A47" s="16">
        <f t="shared" si="0"/>
        <v>-0.20339568626359952</v>
      </c>
      <c r="B47" s="17">
        <f t="shared" si="1"/>
        <v>-2.309026069426609E-2</v>
      </c>
      <c r="C47" s="16">
        <f t="shared" si="2"/>
        <v>3.8271592863340545E-2</v>
      </c>
      <c r="D47" s="16">
        <f t="shared" si="3"/>
        <v>-5.3252001297351706E-2</v>
      </c>
      <c r="U47">
        <v>53.909804999999999</v>
      </c>
      <c r="V47">
        <v>359.71295199999997</v>
      </c>
      <c r="W47">
        <v>17.651333000000001</v>
      </c>
      <c r="X47">
        <v>374.13000499999998</v>
      </c>
    </row>
    <row r="48" spans="1:24" x14ac:dyDescent="0.25">
      <c r="A48" s="16">
        <f t="shared" si="0"/>
        <v>-0.12060532934360442</v>
      </c>
      <c r="B48" s="17">
        <f t="shared" si="1"/>
        <v>-6.7922669971095667E-2</v>
      </c>
      <c r="C48" s="16">
        <f t="shared" si="2"/>
        <v>-5.1761993138965158E-2</v>
      </c>
      <c r="D48" s="16">
        <f t="shared" si="3"/>
        <v>-6.6728737161920584E-2</v>
      </c>
      <c r="U48">
        <v>52.266758000000003</v>
      </c>
      <c r="V48">
        <v>343.23135400000001</v>
      </c>
      <c r="W48">
        <v>22.488001000000001</v>
      </c>
      <c r="X48">
        <v>301.77999899999998</v>
      </c>
    </row>
    <row r="49" spans="1:24" x14ac:dyDescent="0.25">
      <c r="A49" s="16">
        <f t="shared" si="0"/>
        <v>5.3686718345389337E-2</v>
      </c>
      <c r="B49" s="17">
        <f t="shared" si="1"/>
        <v>0.17874917797570058</v>
      </c>
      <c r="C49" s="16">
        <f t="shared" si="2"/>
        <v>-8.062878685392065E-2</v>
      </c>
      <c r="D49" s="16">
        <f t="shared" si="3"/>
        <v>0.23775641368619019</v>
      </c>
      <c r="U49">
        <v>42.647339000000002</v>
      </c>
      <c r="V49">
        <v>335.39685100000003</v>
      </c>
      <c r="W49">
        <v>23.365334000000001</v>
      </c>
      <c r="X49">
        <v>286.13000499999998</v>
      </c>
    </row>
    <row r="50" spans="1:24" x14ac:dyDescent="0.25">
      <c r="A50" s="16">
        <f t="shared" si="0"/>
        <v>3.9523415207258487E-2</v>
      </c>
      <c r="B50" s="17">
        <f t="shared" si="1"/>
        <v>0.13183130795898759</v>
      </c>
      <c r="C50" s="16">
        <f t="shared" si="2"/>
        <v>4.1033017787772068E-2</v>
      </c>
      <c r="D50" s="16">
        <f t="shared" si="3"/>
        <v>5.3338346760732409E-2</v>
      </c>
      <c r="U50">
        <v>37.801907</v>
      </c>
      <c r="V50">
        <v>313.372253</v>
      </c>
      <c r="W50">
        <v>22.186665999999999</v>
      </c>
      <c r="X50">
        <v>267.66000400000001</v>
      </c>
    </row>
    <row r="51" spans="1:24" x14ac:dyDescent="0.25">
      <c r="A51" s="16">
        <f t="shared" si="0"/>
        <v>9.6882248753296374E-2</v>
      </c>
      <c r="B51" s="17">
        <f t="shared" si="1"/>
        <v>-0.13777136821123012</v>
      </c>
      <c r="C51" s="16">
        <f t="shared" si="2"/>
        <v>-0.13365644957133618</v>
      </c>
      <c r="D51" s="16">
        <f t="shared" si="3"/>
        <v>-4.3097707303370219E-3</v>
      </c>
      <c r="U51">
        <v>39.886833000000003</v>
      </c>
      <c r="V51">
        <v>374.70571899999999</v>
      </c>
      <c r="W51">
        <v>20.468</v>
      </c>
      <c r="X51">
        <v>339.5</v>
      </c>
    </row>
    <row r="52" spans="1:24" x14ac:dyDescent="0.25">
      <c r="A52" s="16">
        <f t="shared" si="0"/>
        <v>5.4900783576344189E-2</v>
      </c>
      <c r="B52" s="17">
        <f t="shared" si="1"/>
        <v>-9.8273808688401857E-3</v>
      </c>
      <c r="C52" s="16">
        <f t="shared" si="2"/>
        <v>-0.15912380043687596</v>
      </c>
      <c r="D52" s="16">
        <f t="shared" si="3"/>
        <v>3.8458902381595876E-2</v>
      </c>
      <c r="U52">
        <v>41.494864999999997</v>
      </c>
      <c r="V52">
        <v>427.50769000000003</v>
      </c>
      <c r="W52">
        <v>21.325333000000001</v>
      </c>
      <c r="X52">
        <v>358.10000600000001</v>
      </c>
    </row>
    <row r="53" spans="1:24" x14ac:dyDescent="0.25">
      <c r="A53" s="16">
        <f t="shared" si="0"/>
        <v>-0.13647572400760211</v>
      </c>
      <c r="B53" s="17">
        <f t="shared" si="1"/>
        <v>-0.10040403477221044</v>
      </c>
      <c r="C53" s="16">
        <f t="shared" si="2"/>
        <v>-0.25394534366154559</v>
      </c>
      <c r="D53" s="16">
        <f t="shared" si="3"/>
        <v>-7.6414987640546717E-2</v>
      </c>
      <c r="U53">
        <v>45.716163999999999</v>
      </c>
      <c r="V53">
        <v>372.48654199999999</v>
      </c>
      <c r="W53">
        <v>18.657333000000001</v>
      </c>
      <c r="X53">
        <v>356.55999800000001</v>
      </c>
    </row>
    <row r="54" spans="1:24" x14ac:dyDescent="0.25">
      <c r="A54" s="16">
        <f t="shared" si="0"/>
        <v>0.12652054389907558</v>
      </c>
      <c r="B54" s="17">
        <f t="shared" si="1"/>
        <v>6.9240303060609881E-2</v>
      </c>
      <c r="C54" s="16">
        <f t="shared" si="2"/>
        <v>0.18801208858075266</v>
      </c>
      <c r="D54" s="16">
        <f t="shared" si="3"/>
        <v>6.7686984032078998E-2</v>
      </c>
      <c r="U54">
        <v>48.296191999999998</v>
      </c>
      <c r="V54">
        <v>368.84390300000001</v>
      </c>
      <c r="W54">
        <v>15.912667000000001</v>
      </c>
      <c r="X54">
        <v>370.540009</v>
      </c>
    </row>
    <row r="55" spans="1:24" x14ac:dyDescent="0.25">
      <c r="A55" s="16">
        <f t="shared" si="0"/>
        <v>7.36170225739783E-2</v>
      </c>
      <c r="B55" s="17">
        <f t="shared" si="1"/>
        <v>-6.4771221799985401E-2</v>
      </c>
      <c r="C55" s="16">
        <f t="shared" si="2"/>
        <v>7.8092368410707491E-2</v>
      </c>
      <c r="D55" s="16">
        <f t="shared" si="3"/>
        <v>-0.1286120897719141</v>
      </c>
      <c r="U55">
        <v>42.134926</v>
      </c>
      <c r="V55">
        <v>333.608948</v>
      </c>
      <c r="W55">
        <v>12.343999999999999</v>
      </c>
      <c r="X55">
        <v>343.27999899999998</v>
      </c>
    </row>
    <row r="56" spans="1:24" x14ac:dyDescent="0.25">
      <c r="A56" s="16">
        <f t="shared" si="0"/>
        <v>-2.0390350640010598E-2</v>
      </c>
      <c r="B56" s="17">
        <f t="shared" si="1"/>
        <v>6.4990909983511827E-2</v>
      </c>
      <c r="C56" s="16">
        <f t="shared" si="2"/>
        <v>-6.8516906109732323E-2</v>
      </c>
      <c r="D56" s="16">
        <f t="shared" si="3"/>
        <v>-9.489226657199136E-2</v>
      </c>
      <c r="U56">
        <v>47.817779999999999</v>
      </c>
      <c r="V56">
        <v>357.526611</v>
      </c>
      <c r="W56">
        <v>14.897333</v>
      </c>
      <c r="X56">
        <v>367.32000699999998</v>
      </c>
    </row>
    <row r="57" spans="1:24" x14ac:dyDescent="0.25">
      <c r="A57" s="16">
        <f t="shared" si="0"/>
        <v>7.4214830463567652E-2</v>
      </c>
      <c r="B57" s="17">
        <f t="shared" si="1"/>
        <v>5.0226862008011332E-2</v>
      </c>
      <c r="C57" s="16">
        <f t="shared" si="2"/>
        <v>6.5449564094158627E-2</v>
      </c>
      <c r="D57" s="16">
        <f t="shared" si="3"/>
        <v>-9.3161020264733635E-2</v>
      </c>
      <c r="U57">
        <v>51.470795000000003</v>
      </c>
      <c r="V57">
        <v>335.10320999999999</v>
      </c>
      <c r="W57">
        <v>16.107332</v>
      </c>
      <c r="X57">
        <v>322.98998999999998</v>
      </c>
    </row>
    <row r="58" spans="1:24" x14ac:dyDescent="0.25">
      <c r="A58" s="16">
        <f t="shared" si="0"/>
        <v>0.10497631419026945</v>
      </c>
      <c r="B58" s="17">
        <f t="shared" si="1"/>
        <v>-0.11272640177914113</v>
      </c>
      <c r="C58" s="16">
        <f t="shared" si="2"/>
        <v>0.26806122305435814</v>
      </c>
      <c r="D58" s="16">
        <f t="shared" si="3"/>
        <v>7.134173647457151E-2</v>
      </c>
      <c r="U58">
        <v>50.431914999999996</v>
      </c>
      <c r="V58">
        <v>357.605164</v>
      </c>
      <c r="W58">
        <v>15.040666999999999</v>
      </c>
      <c r="X58">
        <v>293.75</v>
      </c>
    </row>
    <row r="59" spans="1:24" x14ac:dyDescent="0.25">
      <c r="A59" s="16">
        <f t="shared" si="0"/>
        <v>7.1695969487232752E-2</v>
      </c>
      <c r="B59" s="17">
        <f t="shared" si="1"/>
        <v>7.4444126228630433E-2</v>
      </c>
      <c r="C59" s="16">
        <f t="shared" si="2"/>
        <v>4.6592165554463855E-2</v>
      </c>
      <c r="D59" s="16">
        <f t="shared" si="3"/>
        <v>9.0582921856204271E-2</v>
      </c>
      <c r="U59">
        <v>54.317096999999997</v>
      </c>
      <c r="V59">
        <v>376.02526899999998</v>
      </c>
      <c r="W59">
        <v>16.058001000000001</v>
      </c>
      <c r="X59">
        <v>267.61999500000002</v>
      </c>
    </row>
    <row r="60" spans="1:24" x14ac:dyDescent="0.25">
      <c r="A60" s="16">
        <f t="shared" si="0"/>
        <v>9.7201936312435386E-2</v>
      </c>
      <c r="B60" s="17">
        <f t="shared" si="1"/>
        <v>-0.1111553836328516</v>
      </c>
      <c r="C60" s="16">
        <f t="shared" si="2"/>
        <v>0.2373597510861874</v>
      </c>
      <c r="D60" s="16">
        <f t="shared" si="3"/>
        <v>2.7922791950275732E-2</v>
      </c>
      <c r="U60">
        <v>60.329146999999999</v>
      </c>
      <c r="V60">
        <v>335.93911700000001</v>
      </c>
      <c r="W60">
        <v>20.994667</v>
      </c>
      <c r="X60">
        <v>287.41000400000001</v>
      </c>
    </row>
    <row r="61" spans="1:24" x14ac:dyDescent="0.25">
      <c r="U61">
        <v>64.813332000000003</v>
      </c>
      <c r="V61">
        <v>361.90222199999999</v>
      </c>
      <c r="W61">
        <v>21.995999999999999</v>
      </c>
      <c r="X61">
        <v>314.66000400000001</v>
      </c>
    </row>
    <row r="62" spans="1:24" x14ac:dyDescent="0.25">
      <c r="U62">
        <v>71.429665</v>
      </c>
      <c r="V62">
        <v>323.83</v>
      </c>
      <c r="W62">
        <v>27.888666000000001</v>
      </c>
      <c r="X62">
        <v>323.57000699999998</v>
      </c>
    </row>
    <row r="63" spans="1:24" x14ac:dyDescent="0.25">
      <c r="A63" s="4" t="s">
        <v>70</v>
      </c>
      <c r="B63" s="4"/>
      <c r="C63" s="4"/>
      <c r="D63" s="4"/>
      <c r="E63" s="4"/>
      <c r="F63" s="4"/>
      <c r="G63" s="4"/>
      <c r="H63" s="4"/>
    </row>
    <row r="67" spans="1:9" x14ac:dyDescent="0.25">
      <c r="A67" t="s">
        <v>71</v>
      </c>
    </row>
    <row r="68" spans="1:9" x14ac:dyDescent="0.25">
      <c r="A68" t="s">
        <v>72</v>
      </c>
    </row>
    <row r="69" spans="1:9" x14ac:dyDescent="0.25">
      <c r="A69" t="s">
        <v>73</v>
      </c>
    </row>
    <row r="70" spans="1:9" x14ac:dyDescent="0.25">
      <c r="A70" t="s">
        <v>74</v>
      </c>
    </row>
    <row r="71" spans="1:9" x14ac:dyDescent="0.25">
      <c r="A71" t="s">
        <v>75</v>
      </c>
    </row>
    <row r="73" spans="1:9" x14ac:dyDescent="0.25">
      <c r="A73" s="2" t="s">
        <v>78</v>
      </c>
    </row>
    <row r="74" spans="1:9" x14ac:dyDescent="0.25">
      <c r="A74" t="s">
        <v>79</v>
      </c>
    </row>
    <row r="75" spans="1:9" x14ac:dyDescent="0.25">
      <c r="A75" t="s">
        <v>81</v>
      </c>
    </row>
    <row r="76" spans="1:9" x14ac:dyDescent="0.25">
      <c r="A76" t="s">
        <v>82</v>
      </c>
    </row>
    <row r="78" spans="1:9" x14ac:dyDescent="0.25">
      <c r="A78" s="4" t="s">
        <v>85</v>
      </c>
      <c r="B78" s="4"/>
      <c r="C78" s="4"/>
      <c r="D78" s="4"/>
      <c r="E78" s="4"/>
      <c r="F78" s="4"/>
      <c r="G78" s="4"/>
      <c r="H78" s="4"/>
      <c r="I78" s="4"/>
    </row>
    <row r="79" spans="1:9" x14ac:dyDescent="0.25">
      <c r="A79" t="s">
        <v>86</v>
      </c>
    </row>
    <row r="80" spans="1:9" x14ac:dyDescent="0.25">
      <c r="A80" t="s">
        <v>87</v>
      </c>
    </row>
    <row r="82" spans="1:6" x14ac:dyDescent="0.25">
      <c r="A82" s="4" t="s">
        <v>90</v>
      </c>
      <c r="B82" s="4"/>
      <c r="C82" s="4"/>
      <c r="D82" s="4"/>
      <c r="E82" s="4"/>
      <c r="F82" s="4"/>
    </row>
    <row r="83" spans="1:6" x14ac:dyDescent="0.25">
      <c r="A83" t="s">
        <v>91</v>
      </c>
    </row>
    <row r="84" spans="1:6" x14ac:dyDescent="0.25">
      <c r="A84" t="s">
        <v>92</v>
      </c>
    </row>
    <row r="85" spans="1:6" x14ac:dyDescent="0.25">
      <c r="A85" t="s">
        <v>93</v>
      </c>
    </row>
    <row r="86" spans="1:6" x14ac:dyDescent="0.25">
      <c r="A86" t="s">
        <v>94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9BD27-760F-4090-BF3D-C00153F8310E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8C8D64-965B-4FD5-B39B-9E41A24B6DC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bsm + greeks</vt:lpstr>
      <vt:lpstr>implied volatility</vt:lpstr>
      <vt:lpstr>implied vol put option</vt:lpstr>
      <vt:lpstr>portfolio optimization</vt:lpstr>
      <vt:lpstr>Sheet3</vt:lpstr>
      <vt:lpstr>AAPL</vt:lpstr>
      <vt:lpstr>BA</vt:lpstr>
      <vt:lpstr>NFLX</vt:lpstr>
      <vt:lpstr>TSLA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Mr. PK Chiloane</dc:creator>
  <cp:lastModifiedBy>Mr. PK Chiloane</cp:lastModifiedBy>
  <dcterms:created xsi:type="dcterms:W3CDTF">2024-03-27T16:00:32Z</dcterms:created>
  <dcterms:modified xsi:type="dcterms:W3CDTF">2024-03-30T00:39:27Z</dcterms:modified>
</cp:coreProperties>
</file>